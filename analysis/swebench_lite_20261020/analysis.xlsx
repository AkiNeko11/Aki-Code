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3761be4c6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60da6be27b44557"/>
    <x:sheet xmlns:r="http://schemas.openxmlformats.org/officeDocument/2006/relationships" name="逐题300" sheetId="2" r:id="R96ccc08464f74a0c"/>
    <x:sheet xmlns:r="http://schemas.openxmlformats.org/officeDocument/2006/relationships" name="历史尝试326" sheetId="3" r:id="R6ce2da6b220848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"/>
    <x:numFmt numFmtId="202" formatCode="0"/>
    <x:numFmt numFmtId="203" formatCode="0.00%"/>
    <x:numFmt numFmtId="204" formatCode="0.0%"/>
  </x:numFmts>
  <x:fonts count="7">
    <x:font>
      <x:sz val="11"/>
      <x:name val="Carlito"/>
    </x:font>
    <x:font>
      <x:sz val="10"/>
      <x:color rgb="FF17273F"/>
      <x:name val="Arial"/>
    </x:font>
    <x:font>
      <x:b/>
      <x:sz val="10"/>
      <x:color rgb="FFFFFFFF"/>
      <x:name val="Arial"/>
    </x:font>
    <x:font>
      <x:b/>
      <x:sz val="15"/>
      <x:color rgb="FF17273F"/>
      <x:name val="Arial"/>
    </x:font>
    <x:font>
      <x:b/>
      <x:sz val="10"/>
      <x:color rgb="FF17273F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60"/>
      </x:patternFill>
    </x:fill>
    <x:fill>
      <x:patternFill patternType="solid">
        <x:fgColor rgb="FFEDF3F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AAEC5"/>
      </x:bottom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A52C38"/>
      </x:font>
      <x:fill>
        <x:patternFill patternType="solid">
          <x:bgColor rgb="FFFFF0CC"/>
        </x:patternFill>
      </x:fill>
    </x:dxf>
    <x:dxf>
      <x:font>
        <x:color rgb="FFA52C38"/>
      </x:font>
      <x:fill>
        <x:patternFill patternType="solid">
          <x:bgColor rgb="FFFCE8E7"/>
        </x:patternFill>
      </x:fill>
    </x:dxf>
    <x:dxf>
      <x:font>
        <x:color rgb="FFA52C38"/>
      </x:font>
      <x:fill>
        <x:patternFill patternType="solid">
          <x:bgColor rgb="FFFCE8E7"/>
        </x:patternFill>
      </x:fill>
    </x:dxf>
    <x:dxf>
      <x:font>
        <x:color rgb="FFA52C38"/>
      </x:font>
      <x:fill>
        <x:patternFill patternType="solid">
          <x:bgColor rgb="FFFC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13a2b0a7c442fd" /><Relationship Type="http://schemas.openxmlformats.org/officeDocument/2006/relationships/theme" Target="/xl/theme/theme1.xml" Id="Rd1dafb004768405c" /><Relationship Type="http://schemas.openxmlformats.org/officeDocument/2006/relationships/sharedStrings" Target="/xl/sharedStrings.xml" Id="Rb1dae118cbac4a66" /><Relationship Type="http://schemas.openxmlformats.org/officeDocument/2006/relationships/worksheet" Target="/xl/worksheets/sheet1.xml" Id="R860da6be27b44557" /><Relationship Type="http://schemas.openxmlformats.org/officeDocument/2006/relationships/worksheet" Target="/xl/worksheets/sheet2.xml" Id="R96ccc08464f74a0c" /><Relationship Type="http://schemas.openxmlformats.org/officeDocument/2006/relationships/worksheet" Target="/xl/worksheets/sheet3.xml" Id="R6ce2da6b220848ec" /></Relationships>
</file>

<file path=xl/tables/table1.xml><?xml version="1.0" encoding="utf-8"?>
<x:table xmlns:x="http://schemas.openxmlformats.org/spreadsheetml/2006/main" id="1" name="InstanceResults" displayName="InstanceResults" ref="A5:AA305" headerRowCount="1" totalsRowCount="0" totalsRowShown="0">
  <x:autoFilter ref="A5:AA305"/>
  <x:tableColumns count="27">
    <x:tableColumn id="1" name="题目 ID"/>
    <x:tableColumn id="2" name="仓库"/>
    <x:tableColumn id="3" name="官方结果"/>
    <x:tableColumn id="4" name="归因分类"/>
    <x:tableColumn id="5" name="分析摘要"/>
    <x:tableColumn id="6" name="建议措施"/>
    <x:tableColumn id="7" name="gold 验证"/>
    <x:tableColumn id="8" name="Agent 状态"/>
    <x:tableColumn id="9" name="attempt 数"/>
    <x:tableColumn id="10" name="模型 attempt 数"/>
    <x:tableColumn id="11" name="首次流水线结果"/>
    <x:tableColumn id="12" name="F2P 成功"/>
    <x:tableColumn id="13" name="F2P 失败"/>
    <x:tableColumn id="14" name="P2P 成功"/>
    <x:tableColumn id="15" name="P2P 失败"/>
    <x:tableColumn id="16" name="最新 tokens"/>
    <x:tableColumn id="17" name="累计 tokens"/>
    <x:tableColumn id="18" name="最新请求"/>
    <x:tableColumn id="19" name="累计请求"/>
    <x:tableColumn id="20" name="主模型轮数"/>
    <x:tableColumn id="21" name="推理秒数"/>
    <x:tableColumn id="22" name="修改文件"/>
    <x:tableColumn id="23" name="官方失败测试"/>
    <x:tableColumn id="24" name="证据路径"/>
    <x:tableColumn id="25" name="末轮内容类型"/>
    <x:tableColumn id="26" name="末轮输出 tokens"/>
    <x:tableColumn id="27" name="疑似 thinking 截断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AttemptHistory" displayName="AttemptHistory" ref="A5:R331" headerRowCount="1" totalsRowCount="0" totalsRowShown="0">
  <x:autoFilter ref="A5:R331"/>
  <x:tableColumns count="18">
    <x:tableColumn id="1" name="题目 ID"/>
    <x:tableColumn id="2" name="仓库"/>
    <x:tableColumn id="3" name="attempt"/>
    <x:tableColumn id="4" name="流水线结果"/>
    <x:tableColumn id="5" name="最后阶段"/>
    <x:tableColumn id="6" name="Agent 状态"/>
    <x:tableColumn id="7" name="首次流水线"/>
    <x:tableColumn id="8" name="首次 Agent 启动"/>
    <x:tableColumn id="9" name="有模型请求"/>
    <x:tableColumn id="10" name="gold 验证"/>
    <x:tableColumn id="11" name="补丁状态"/>
    <x:tableColumn id="12" name="官方判分状态"/>
    <x:tableColumn id="13" name="请求数"/>
    <x:tableColumn id="14" name="tokens"/>
    <x:tableColumn id="15" name="推理秒数"/>
    <x:tableColumn id="16" name="异常或停止原因"/>
    <x:tableColumn id="17" name="state 证据路径"/>
    <x:tableColumn id="18" name="最新 attemp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1d75c09a4040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8e6eca56424fc6" /></Relationships>
</file>

<file path=xl/worksheets/sheet1.xml><?xml version="1.0" encoding="utf-8"?>
<x:worksheet xmlns:x="http://schemas.openxmlformats.org/spreadsheetml/2006/main">
  <x:sheetPr>
    <x:tabColor rgb="FF243E60"/>
  </x:sheetPr>
  <x:sheetViews>
    <x:sheetView showGridLines="0" workbookViewId="0"/>
  </x:sheetViews>
  <x:sheetFormatPr defaultRowHeight="15"/>
  <x:cols>
    <x:col min="1" max="1" width="43" hidden="0" customWidth="1"/>
    <x:col min="2" max="2" width="19" hidden="0" customWidth="1"/>
    <x:col min="3" max="3" width="19" hidden="0" customWidth="1"/>
    <x:col min="4" max="4" width="17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29" customHeight="1">
      <x:c r="A2" s="7" t="str">
        <x:v>Aki-Code SWE-bench Lite 评测分析</x:v>
      </x:c>
      <x:c r="B2" s="2"/>
      <x:c r="C2" s="2"/>
      <x:c r="D2" s="2"/>
      <x:c r="E2" s="2"/>
      <x:c r="F2" s="2"/>
      <x:c r="G2" s="2"/>
      <x:c r="H2" s="2"/>
    </x:row>
    <x:row r="3" ht="23" customHeight="1">
      <x:c r="A3" s="8" t="str">
        <x:v>300 题，deepseek-flash，2026-10-20 归档分析</x:v>
      </x:c>
      <x:c r="B3" s="8"/>
      <x:c r="C3" s="8"/>
      <x:c r="D3" s="8"/>
      <x:c r="E3" s="8"/>
      <x:c r="F3" s="8"/>
      <x:c r="G3" s="8"/>
      <x:c r="H3" s="8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29" customHeight="1">
      <x:c r="A5" s="6" t="str">
        <x:v>指标</x:v>
      </x:c>
      <x:c r="B5" s="6" t="str">
        <x:v>数量 / 用量</x:v>
      </x:c>
      <x:c r="C5" s="6" t="str">
        <x:v>比率</x:v>
      </x:c>
      <x:c r="D5" s="2"/>
      <x:c r="E5" s="6" t="str">
        <x:v>最新官方结果</x:v>
      </x:c>
      <x:c r="F5" s="6" t="str">
        <x:v>题目数</x:v>
      </x:c>
      <x:c r="G5" s="2"/>
      <x:c r="H5" s="2"/>
    </x:row>
    <x:row r="6" ht="23" customHeight="1">
      <x:c r="A6" s="2" t="str">
        <x:v>完整选择集</x:v>
      </x:c>
      <x:c r="B6" s="11" t="n">
        <x:f>COUNTA('逐题300'!$A$6:$A$305)</x:f>
        <x:v>300</x:v>
      </x:c>
      <x:c r="C6" s="14"/>
      <x:c r="D6" s="2"/>
      <x:c r="E6" s="2" t="str">
        <x:v>已解决</x:v>
      </x:c>
      <x:c r="F6" s="2" t="n">
        <x:f>COUNTIFS('逐题300'!$C$6:$C$305,"resolved")</x:f>
        <x:v>214</x:v>
      </x:c>
      <x:c r="G6" s="2"/>
      <x:c r="H6" s="2"/>
    </x:row>
    <x:row r="7" ht="23" customHeight="1">
      <x:c r="A7" s="18" t="str">
        <x:v>最新 attempt 通过</x:v>
      </x:c>
      <x:c r="B7" s="19" t="n">
        <x:f>COUNTIFS('逐题300'!$C$6:$C$305,"resolved")</x:f>
        <x:v>214</x:v>
      </x:c>
      <x:c r="C7" s="20" t="n">
        <x:f>B7/B6</x:f>
        <x:v>0.7133333333333334</x:v>
      </x:c>
      <x:c r="D7" s="2"/>
      <x:c r="E7" s="2" t="str">
        <x:v>空补丁</x:v>
      </x:c>
      <x:c r="F7" s="2" t="n">
        <x:f>COUNTIFS('逐题300'!$C$6:$C$305,"empty_patch")</x:f>
        <x:v>44</x:v>
      </x:c>
      <x:c r="G7" s="2"/>
      <x:c r="H7" s="2"/>
    </x:row>
    <x:row r="8" ht="23" customHeight="1">
      <x:c r="A8" s="2" t="str">
        <x:v>gold 验证通过</x:v>
      </x:c>
      <x:c r="B8" s="11" t="n">
        <x:f>COUNTIFS('逐题300'!$G$6:$G$305,"通过")</x:f>
        <x:v>295</x:v>
      </x:c>
      <x:c r="C8" s="14" t="n">
        <x:f>B8/B6</x:f>
        <x:v>0.9833333333333333</x:v>
      </x:c>
      <x:c r="D8" s="2"/>
      <x:c r="E8" s="2" t="str">
        <x:v>非空但未解决</x:v>
      </x:c>
      <x:c r="F8" s="2" t="n">
        <x:f>COUNTIFS('逐题300'!$C$6:$C$305,"unresolved")</x:f>
        <x:v>37</x:v>
      </x:c>
      <x:c r="G8" s="2"/>
      <x:c r="H8" s="2"/>
    </x:row>
    <x:row r="9" ht="23" customHeight="1">
      <x:c r="A9" s="2" t="str">
        <x:v>gold 通过子集的解题率</x:v>
      </x:c>
      <x:c r="B9" s="11" t="n">
        <x:f>B7</x:f>
        <x:v>214</x:v>
      </x:c>
      <x:c r="C9" s="14" t="n">
        <x:f>B9/B8</x:f>
        <x:v>0.7254237288135593</x:v>
      </x:c>
      <x:c r="D9" s="2"/>
      <x:c r="E9" s="2" t="str">
        <x:v>gold 验证失败</x:v>
      </x:c>
      <x:c r="F9" s="2" t="n">
        <x:f>COUNTIFS('逐题300'!$C$6:$C$305,"error")</x:f>
        <x:v>5</x:v>
      </x:c>
      <x:c r="G9" s="2"/>
      <x:c r="H9" s="2"/>
    </x:row>
    <x:row r="10" ht="23" customHeight="1">
      <x:c r="A10" s="2" t="str">
        <x:v>非空补丁已判分</x:v>
      </x:c>
      <x:c r="B10" s="11" t="n">
        <x:f>COUNTIFS('逐题300'!$C$6:$C$305,"resolved")+COUNTIFS('逐题300'!$C$6:$C$305,"unresolved")</x:f>
        <x:v>251</x:v>
      </x:c>
      <x:c r="C10" s="14" t="n">
        <x:f>B10/B6</x:f>
        <x:v>0.8366666666666667</x:v>
      </x:c>
      <x:c r="D10" s="2"/>
      <x:c r="E10" s="2"/>
      <x:c r="F10" s="2"/>
      <x:c r="G10" s="2"/>
      <x:c r="H10" s="2"/>
    </x:row>
    <x:row r="11" ht="23" customHeight="1">
      <x:c r="A11" s="2" t="str">
        <x:v>首次流水线通过</x:v>
      </x:c>
      <x:c r="B11" s="11" t="n">
        <x:f>COUNTIFS('逐题300'!$K$6:$K$305,"resolved")</x:f>
        <x:v>197</x:v>
      </x:c>
      <x:c r="C11" s="14" t="n">
        <x:f>B11/B6</x:f>
        <x:v>0.6566666666666666</x:v>
      </x:c>
      <x:c r="D11" s="2"/>
      <x:c r="E11" s="2"/>
      <x:c r="F11" s="2"/>
      <x:c r="G11" s="2"/>
      <x:c r="H11" s="2"/>
    </x:row>
    <x:row r="12" ht="23" customHeight="1">
      <x:c r="A12" s="2" t="str">
        <x:v>有历史重试的题目</x:v>
      </x:c>
      <x:c r="B12" s="11" t="n">
        <x:f>COUNTIFS('逐题300'!$I$6:$I$305,"&gt;1")</x:f>
        <x:v>26</x:v>
      </x:c>
      <x:c r="C12" s="14" t="n">
        <x:f>B12/B6</x:f>
        <x:v>0.08666666666666667</x:v>
      </x:c>
      <x:c r="D12" s="2"/>
      <x:c r="E12" s="22" t="str">
        <x:v>口径说明</x:v>
      </x:c>
      <x:c r="F12" s="2"/>
      <x:c r="G12" s="2"/>
      <x:c r="H12" s="2"/>
    </x:row>
    <x:row r="13" ht="23" customHeight="1">
      <x:c r="A13" s="2" t="str">
        <x:v>累计模型请求</x:v>
      </x:c>
      <x:c r="B13" s="11" t="n">
        <x:f>SUM('历史尝试326'!$M$6:$M$331)</x:f>
        <x:v>9247</x:v>
      </x:c>
      <x:c r="C13" s="14"/>
      <x:c r="D13" s="2"/>
      <x:c r="E13" s="24" t="str">
        <x:v>主成绩采用最新 attempt，包含基础设施重试。</x:v>
      </x:c>
      <x:c r="F13" s="2"/>
      <x:c r="G13" s="2"/>
      <x:c r="H13" s="2"/>
    </x:row>
    <x:row r="14" ht="23" customHeight="1">
      <x:c r="A14" s="2" t="str">
        <x:v>累计 tokens（含缓存）</x:v>
      </x:c>
      <x:c r="B14" s="11" t="n">
        <x:f>SUM('历史尝试326'!$N$6:$N$331)</x:f>
        <x:v>99620472</x:v>
      </x:c>
      <x:c r="C14" s="14"/>
      <x:c r="D14" s="2"/>
      <x:c r="E14" s="24" t="str">
        <x:v>剔除 gold 失败的比率仅用于诊断。</x:v>
      </x:c>
      <x:c r="F14" s="2"/>
      <x:c r="G14" s="2"/>
      <x:c r="H14" s="2"/>
    </x:row>
    <x:row r="15" ht="23" customHeight="1">
      <x:c r="A15" s="2"/>
      <x:c r="B15" s="2"/>
      <x:c r="C15" s="2"/>
      <x:c r="D15" s="2"/>
      <x:c r="E15" s="24" t="str">
        <x:v>首次流水线通过率不等同模型 pass@1。</x:v>
      </x:c>
      <x:c r="F15" s="2"/>
      <x:c r="G15" s="2"/>
      <x:c r="H15" s="2"/>
    </x:row>
    <x:row r="16" ht="23" customHeight="1">
      <x:c r="A16" s="2"/>
      <x:c r="B16" s="2"/>
      <x:c r="C16" s="2"/>
      <x:c r="D16" s="2"/>
      <x:c r="E16" s="24" t="str">
        <x:v>首次 Agent 已知 213 解，2 份旧补丁待判。</x:v>
      </x:c>
      <x:c r="F16" s="2"/>
      <x:c r="G16" s="2"/>
      <x:c r="H16" s="2"/>
    </x:row>
    <x:row r="17" ht="29" customHeight="1">
      <x:c r="A17" s="6" t="str">
        <x:v>归因分类</x:v>
      </x:c>
      <x:c r="B17" s="6" t="str">
        <x:v>题目数</x:v>
      </x:c>
      <x:c r="C17" s="6" t="str">
        <x:v>占完整选择集</x:v>
      </x:c>
      <x:c r="D17" s="2"/>
      <x:c r="E17" s="24" t="str">
        <x:v>44 份空补丁没有送官方测试执行。</x:v>
      </x:c>
      <x:c r="F17" s="2"/>
      <x:c r="G17" s="2"/>
      <x:c r="H17" s="2"/>
    </x:row>
    <x:row r="18" ht="23" customHeight="1">
      <x:c r="A18" s="2" t="str">
        <x:v>已解决</x:v>
      </x:c>
      <x:c r="B18" s="2" t="n">
        <x:f>COUNTIFS('逐题300'!$D$6:$D$305,A18)</x:f>
        <x:v>214</x:v>
      </x:c>
      <x:c r="C18" s="21" t="n">
        <x:f>B18/$B$6</x:f>
        <x:v>0.7133333333333334</x:v>
      </x:c>
      <x:c r="D18" s="2"/>
      <x:c r="E18" s="24" t="str">
        <x:v>tokens 含缓存输入，不等于供应商费用。</x:v>
      </x:c>
      <x:c r="F18" s="2"/>
      <x:c r="G18" s="2"/>
      <x:c r="H18" s="2"/>
    </x:row>
    <x:row r="19" ht="23" customHeight="1">
      <x:c r="A19" s="2" t="str">
        <x:v>补丁目标测试未通过</x:v>
      </x:c>
      <x:c r="B19" s="2" t="n">
        <x:f>COUNTIFS('逐题300'!$D$6:$D$305,A19)</x:f>
        <x:v>31</x:v>
      </x:c>
      <x:c r="C19" s="21" t="n">
        <x:f>B19/$B$6</x:f>
        <x:v>0.10333333333333333</x:v>
      </x:c>
      <x:c r="D19" s="2"/>
      <x:c r="E19" s="2"/>
      <x:c r="F19" s="2"/>
      <x:c r="G19" s="2"/>
      <x:c r="H19" s="2"/>
    </x:row>
    <x:row r="20" ht="23" customHeight="1">
      <x:c r="A20" s="2" t="str">
        <x:v>达到轮数上限且无补丁</x:v>
      </x:c>
      <x:c r="B20" s="2" t="n">
        <x:f>COUNTIFS('逐题300'!$D$6:$D$305,A20)</x:f>
        <x:v>20</x:v>
      </x:c>
      <x:c r="C20" s="21" t="n">
        <x:f>B20/$B$6</x:f>
        <x:v>0.06666666666666667</x:v>
      </x:c>
      <x:c r="D20" s="2"/>
      <x:c r="E20" s="2"/>
      <x:c r="F20" s="2"/>
      <x:c r="G20" s="2"/>
      <x:c r="H20" s="2"/>
    </x:row>
    <x:row r="21" ht="23" customHeight="1">
      <x:c r="A21" s="2" t="str">
        <x:v>疑似thinking输出截断且无补丁</x:v>
      </x:c>
      <x:c r="B21" s="2" t="n">
        <x:f>COUNTIFS('逐题300'!$D$6:$D$305,A21)</x:f>
        <x:v>17</x:v>
      </x:c>
      <x:c r="C21" s="21" t="n">
        <x:f>B21/$B$6</x:f>
        <x:v>0.056666666666666664</x:v>
      </x:c>
      <x:c r="D21" s="2"/>
      <x:c r="E21" s="2"/>
      <x:c r="F21" s="2"/>
      <x:c r="G21" s="2"/>
      <x:c r="H21" s="2"/>
    </x:row>
    <x:row r="22" ht="23" customHeight="1">
      <x:c r="A22" s="2" t="str">
        <x:v>gold验证失败，Agent未启动</x:v>
      </x:c>
      <x:c r="B22" s="2" t="n">
        <x:f>COUNTIFS('逐题300'!$D$6:$D$305,A22)</x:f>
        <x:v>5</x:v>
      </x:c>
      <x:c r="C22" s="21" t="n">
        <x:f>B22/$B$6</x:f>
        <x:v>0.016666666666666666</x:v>
      </x:c>
      <x:c r="D22" s="2"/>
      <x:c r="E22" s="2"/>
      <x:c r="F22" s="2"/>
      <x:c r="G22" s="2"/>
      <x:c r="H22" s="2"/>
    </x:row>
    <x:row r="23" ht="23" customHeight="1">
      <x:c r="A23" s="2" t="str">
        <x:v>API流式连接中断</x:v>
      </x:c>
      <x:c r="B23" s="2" t="n">
        <x:f>COUNTIFS('逐题300'!$D$6:$D$305,A23)</x:f>
        <x:v>5</x:v>
      </x:c>
      <x:c r="C23" s="21" t="n">
        <x:f>B23/$B$6</x:f>
        <x:v>0.016666666666666666</x:v>
      </x:c>
      <x:c r="D23" s="2"/>
      <x:c r="E23" s="2"/>
      <x:c r="F23" s="2"/>
      <x:c r="G23" s="2"/>
      <x:c r="H23" s="2"/>
    </x:row>
    <x:row r="24" ht="23" customHeight="1">
      <x:c r="A24" s="2" t="str">
        <x:v>补丁回归测试未通过</x:v>
      </x:c>
      <x:c r="B24" s="2" t="n">
        <x:f>COUNTIFS('逐题300'!$D$6:$D$305,A24)</x:f>
        <x:v>3</x:v>
      </x:c>
      <x:c r="C24" s="21" t="n">
        <x:f>B24/$B$6</x:f>
        <x:v>0.01</x:v>
      </x:c>
      <x:c r="D24" s="2"/>
      <x:c r="E24" s="2"/>
      <x:c r="F24" s="2"/>
      <x:c r="G24" s="2"/>
      <x:c r="H24" s="2"/>
    </x:row>
    <x:row r="25" ht="23" customHeight="1">
      <x:c r="A25" s="2" t="str">
        <x:v>补丁同时未修复目标且破坏回归</x:v>
      </x:c>
      <x:c r="B25" s="2" t="n">
        <x:f>COUNTIFS('逐题300'!$D$6:$D$305,A25)</x:f>
        <x:v>3</x:v>
      </x:c>
      <x:c r="C25" s="21" t="n">
        <x:f>B25/$B$6</x:f>
        <x:v>0.01</x:v>
      </x:c>
      <x:c r="D25" s="2"/>
      <x:c r="E25" s="2"/>
      <x:c r="F25" s="2"/>
      <x:c r="G25" s="2"/>
      <x:c r="H25" s="2"/>
    </x:row>
    <x:row r="26" ht="23" customHeight="1">
      <x:c r="A26" s="2" t="str">
        <x:v>Runner不支持子模块工作区</x:v>
      </x:c>
      <x:c r="B26" s="2" t="n">
        <x:f>COUNTIFS('逐题300'!$D$6:$D$305,A26)</x:f>
        <x:v>2</x:v>
      </x:c>
      <x:c r="C26" s="21" t="n">
        <x:f>B26/$B$6</x:f>
        <x:v>0.006666666666666667</x:v>
      </x:c>
      <x:c r="D26" s="2"/>
      <x:c r="E26" s="2"/>
      <x:c r="F26" s="2"/>
      <x:c r="G26" s="2"/>
      <x:c r="H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</x:row>
    <x:row r="39" ht="29" customHeight="1">
      <x:c r="A39" s="6" t="str">
        <x:v>仓库</x:v>
      </x:c>
      <x:c r="B39" s="6" t="str">
        <x:v>题目数</x:v>
      </x:c>
      <x:c r="C39" s="6" t="str">
        <x:v>gold 通过</x:v>
      </x:c>
      <x:c r="D39" s="6" t="str">
        <x:v>已解决</x:v>
      </x:c>
      <x:c r="E39" s="6" t="str">
        <x:v>全量通过率</x:v>
      </x:c>
      <x:c r="F39" s="6" t="str">
        <x:v>gold 子集通过率</x:v>
      </x:c>
      <x:c r="G39" s="6" t="str">
        <x:v>累计 tokens</x:v>
      </x:c>
      <x:c r="H39" s="6" t="str">
        <x:v>累计请求</x:v>
      </x:c>
    </x:row>
    <x:row r="40" ht="23" customHeight="1">
      <x:c r="A40" s="2" t="str">
        <x:v>astropy/astropy</x:v>
      </x:c>
      <x:c r="B40" s="2" t="n">
        <x:f>COUNTIFS('逐题300'!$B$6:$B$305,A40)</x:f>
        <x:v>6</x:v>
      </x:c>
      <x:c r="C40" s="2" t="n">
        <x:f>COUNTIFS('逐题300'!$B$6:$B$305,A40,'逐题300'!$G$6:$G$305,"通过")</x:f>
        <x:v>6</x:v>
      </x:c>
      <x:c r="D40" s="2" t="n">
        <x:f>COUNTIFS('逐题300'!$B$6:$B$305,A40,'逐题300'!$C$6:$C$305,"resolved")</x:f>
        <x:v>3</x:v>
      </x:c>
      <x:c r="E40" s="21" t="n">
        <x:f>D40/B40</x:f>
        <x:v>0.5</x:v>
      </x:c>
      <x:c r="F40" s="21" t="n">
        <x:f>IF(C40=0,"n.a.",D40/C40)</x:f>
        <x:v>0.5</x:v>
      </x:c>
      <x:c r="G40" s="11" t="n">
        <x:f>SUMIFS('逐题300'!$Q$6:$Q$305,'逐题300'!$B$6:$B$305,A40)</x:f>
        <x:v>680988</x:v>
      </x:c>
      <x:c r="H40" s="11" t="n">
        <x:f>SUMIFS('逐题300'!$S$6:$S$305,'逐题300'!$B$6:$B$305,A40)</x:f>
        <x:v>64</x:v>
      </x:c>
    </x:row>
    <x:row r="41" ht="23" customHeight="1">
      <x:c r="A41" s="2" t="str">
        <x:v>django/django</x:v>
      </x:c>
      <x:c r="B41" s="2" t="n">
        <x:f>COUNTIFS('逐题300'!$B$6:$B$305,A41)</x:f>
        <x:v>114</x:v>
      </x:c>
      <x:c r="C41" s="2" t="n">
        <x:f>COUNTIFS('逐题300'!$B$6:$B$305,A41,'逐题300'!$G$6:$G$305,"通过")</x:f>
        <x:v>114</x:v>
      </x:c>
      <x:c r="D41" s="2" t="n">
        <x:f>COUNTIFS('逐题300'!$B$6:$B$305,A41,'逐题300'!$C$6:$C$305,"resolved")</x:f>
        <x:v>90</x:v>
      </x:c>
      <x:c r="E41" s="21" t="n">
        <x:f>D41/B41</x:f>
        <x:v>0.7894736842105263</x:v>
      </x:c>
      <x:c r="F41" s="21" t="n">
        <x:f>IF(C41=0,"n.a.",D41/C41)</x:f>
        <x:v>0.7894736842105263</x:v>
      </x:c>
      <x:c r="G41" s="11" t="n">
        <x:f>SUMIFS('逐题300'!$Q$6:$Q$305,'逐题300'!$B$6:$B$305,A41)</x:f>
        <x:v>29966525</x:v>
      </x:c>
      <x:c r="H41" s="11" t="n">
        <x:f>SUMIFS('逐题300'!$S$6:$S$305,'逐题300'!$B$6:$B$305,A41)</x:f>
        <x:v>2976</x:v>
      </x:c>
    </x:row>
    <x:row r="42" ht="23" customHeight="1">
      <x:c r="A42" s="2" t="str">
        <x:v>matplotlib/matplotlib</x:v>
      </x:c>
      <x:c r="B42" s="2" t="n">
        <x:f>COUNTIFS('逐题300'!$B$6:$B$305,A42)</x:f>
        <x:v>23</x:v>
      </x:c>
      <x:c r="C42" s="2" t="n">
        <x:f>COUNTIFS('逐题300'!$B$6:$B$305,A42,'逐题300'!$G$6:$G$305,"通过")</x:f>
        <x:v>22</x:v>
      </x:c>
      <x:c r="D42" s="2" t="n">
        <x:f>COUNTIFS('逐题300'!$B$6:$B$305,A42,'逐题300'!$C$6:$C$305,"resolved")</x:f>
        <x:v>17</x:v>
      </x:c>
      <x:c r="E42" s="21" t="n">
        <x:f>D42/B42</x:f>
        <x:v>0.7391304347826086</x:v>
      </x:c>
      <x:c r="F42" s="21" t="n">
        <x:f>IF(C42=0,"n.a.",D42/C42)</x:f>
        <x:v>0.7727272727272727</x:v>
      </x:c>
      <x:c r="G42" s="11" t="n">
        <x:f>SUMIFS('逐题300'!$Q$6:$Q$305,'逐题300'!$B$6:$B$305,A42)</x:f>
        <x:v>8828513</x:v>
      </x:c>
      <x:c r="H42" s="11" t="n">
        <x:f>SUMIFS('逐题300'!$S$6:$S$305,'逐题300'!$B$6:$B$305,A42)</x:f>
        <x:v>799</x:v>
      </x:c>
    </x:row>
    <x:row r="43" ht="23" customHeight="1">
      <x:c r="A43" s="2" t="str">
        <x:v>mwaskom/seaborn</x:v>
      </x:c>
      <x:c r="B43" s="2" t="n">
        <x:f>COUNTIFS('逐题300'!$B$6:$B$305,A43)</x:f>
        <x:v>4</x:v>
      </x:c>
      <x:c r="C43" s="2" t="n">
        <x:f>COUNTIFS('逐题300'!$B$6:$B$305,A43,'逐题300'!$G$6:$G$305,"通过")</x:f>
        <x:v>4</x:v>
      </x:c>
      <x:c r="D43" s="2" t="n">
        <x:f>COUNTIFS('逐题300'!$B$6:$B$305,A43,'逐题300'!$C$6:$C$305,"resolved")</x:f>
        <x:v>2</x:v>
      </x:c>
      <x:c r="E43" s="21" t="n">
        <x:f>D43/B43</x:f>
        <x:v>0.5</x:v>
      </x:c>
      <x:c r="F43" s="21" t="n">
        <x:f>IF(C43=0,"n.a.",D43/C43)</x:f>
        <x:v>0.5</x:v>
      </x:c>
      <x:c r="G43" s="11" t="n">
        <x:f>SUMIFS('逐题300'!$Q$6:$Q$305,'逐题300'!$B$6:$B$305,A43)</x:f>
        <x:v>2216275</x:v>
      </x:c>
      <x:c r="H43" s="11" t="n">
        <x:f>SUMIFS('逐题300'!$S$6:$S$305,'逐题300'!$B$6:$B$305,A43)</x:f>
        <x:v>200</x:v>
      </x:c>
    </x:row>
    <x:row r="44" ht="23" customHeight="1">
      <x:c r="A44" s="2" t="str">
        <x:v>pallets/flask</x:v>
      </x:c>
      <x:c r="B44" s="2" t="n">
        <x:f>COUNTIFS('逐题300'!$B$6:$B$305,A44)</x:f>
        <x:v>3</x:v>
      </x:c>
      <x:c r="C44" s="2" t="n">
        <x:f>COUNTIFS('逐题300'!$B$6:$B$305,A44,'逐题300'!$G$6:$G$305,"通过")</x:f>
        <x:v>3</x:v>
      </x:c>
      <x:c r="D44" s="2" t="n">
        <x:f>COUNTIFS('逐题300'!$B$6:$B$305,A44,'逐题300'!$C$6:$C$305,"resolved")</x:f>
        <x:v>2</x:v>
      </x:c>
      <x:c r="E44" s="21" t="n">
        <x:f>D44/B44</x:f>
        <x:v>0.6666666666666666</x:v>
      </x:c>
      <x:c r="F44" s="21" t="n">
        <x:f>IF(C44=0,"n.a.",D44/C44)</x:f>
        <x:v>0.6666666666666666</x:v>
      </x:c>
      <x:c r="G44" s="11" t="n">
        <x:f>SUMIFS('逐题300'!$Q$6:$Q$305,'逐题300'!$B$6:$B$305,A44)</x:f>
        <x:v>618856</x:v>
      </x:c>
      <x:c r="H44" s="11" t="n">
        <x:f>SUMIFS('逐题300'!$S$6:$S$305,'逐题300'!$B$6:$B$305,A44)</x:f>
        <x:v>67</x:v>
      </x:c>
    </x:row>
    <x:row r="45" ht="23" customHeight="1">
      <x:c r="A45" s="2" t="str">
        <x:v>psf/requests</x:v>
      </x:c>
      <x:c r="B45" s="2" t="n">
        <x:f>COUNTIFS('逐题300'!$B$6:$B$305,A45)</x:f>
        <x:v>6</x:v>
      </x:c>
      <x:c r="C45" s="2" t="n">
        <x:f>COUNTIFS('逐题300'!$B$6:$B$305,A45,'逐题300'!$G$6:$G$305,"通过")</x:f>
        <x:v>2</x:v>
      </x:c>
      <x:c r="D45" s="2" t="n">
        <x:f>COUNTIFS('逐题300'!$B$6:$B$305,A45,'逐题300'!$C$6:$C$305,"resolved")</x:f>
        <x:v>1</x:v>
      </x:c>
      <x:c r="E45" s="21" t="n">
        <x:f>D45/B45</x:f>
        <x:v>0.16666666666666666</x:v>
      </x:c>
      <x:c r="F45" s="21" t="n">
        <x:f>IF(C45=0,"n.a.",D45/C45)</x:f>
        <x:v>0.5</x:v>
      </x:c>
      <x:c r="G45" s="11" t="n">
        <x:f>SUMIFS('逐题300'!$Q$6:$Q$305,'逐题300'!$B$6:$B$305,A45)</x:f>
        <x:v>484443</x:v>
      </x:c>
      <x:c r="H45" s="11" t="n">
        <x:f>SUMIFS('逐题300'!$S$6:$S$305,'逐题300'!$B$6:$B$305,A45)</x:f>
        <x:v>45</x:v>
      </x:c>
    </x:row>
    <x:row r="46" ht="23" customHeight="1">
      <x:c r="A46" s="2" t="str">
        <x:v>pydata/xarray</x:v>
      </x:c>
      <x:c r="B46" s="2" t="n">
        <x:f>COUNTIFS('逐题300'!$B$6:$B$305,A46)</x:f>
        <x:v>5</x:v>
      </x:c>
      <x:c r="C46" s="2" t="n">
        <x:f>COUNTIFS('逐题300'!$B$6:$B$305,A46,'逐题300'!$G$6:$G$305,"通过")</x:f>
        <x:v>5</x:v>
      </x:c>
      <x:c r="D46" s="2" t="n">
        <x:f>COUNTIFS('逐题300'!$B$6:$B$305,A46,'逐题300'!$C$6:$C$305,"resolved")</x:f>
        <x:v>4</x:v>
      </x:c>
      <x:c r="E46" s="21" t="n">
        <x:f>D46/B46</x:f>
        <x:v>0.8</x:v>
      </x:c>
      <x:c r="F46" s="21" t="n">
        <x:f>IF(C46=0,"n.a.",D46/C46)</x:f>
        <x:v>0.8</x:v>
      </x:c>
      <x:c r="G46" s="11" t="n">
        <x:f>SUMIFS('逐题300'!$Q$6:$Q$305,'逐题300'!$B$6:$B$305,A46)</x:f>
        <x:v>1223014</x:v>
      </x:c>
      <x:c r="H46" s="11" t="n">
        <x:f>SUMIFS('逐题300'!$S$6:$S$305,'逐题300'!$B$6:$B$305,A46)</x:f>
        <x:v>120</x:v>
      </x:c>
    </x:row>
    <x:row r="47" ht="23" customHeight="1">
      <x:c r="A47" s="2" t="str">
        <x:v>pylint-dev/pylint</x:v>
      </x:c>
      <x:c r="B47" s="2" t="n">
        <x:f>COUNTIFS('逐题300'!$B$6:$B$305,A47)</x:f>
        <x:v>6</x:v>
      </x:c>
      <x:c r="C47" s="2" t="n">
        <x:f>COUNTIFS('逐题300'!$B$6:$B$305,A47,'逐题300'!$G$6:$G$305,"通过")</x:f>
        <x:v>6</x:v>
      </x:c>
      <x:c r="D47" s="2" t="n">
        <x:f>COUNTIFS('逐题300'!$B$6:$B$305,A47,'逐题300'!$C$6:$C$305,"resolved")</x:f>
        <x:v>4</x:v>
      </x:c>
      <x:c r="E47" s="21" t="n">
        <x:f>D47/B47</x:f>
        <x:v>0.6666666666666666</x:v>
      </x:c>
      <x:c r="F47" s="21" t="n">
        <x:f>IF(C47=0,"n.a.",D47/C47)</x:f>
        <x:v>0.6666666666666666</x:v>
      </x:c>
      <x:c r="G47" s="11" t="n">
        <x:f>SUMIFS('逐题300'!$Q$6:$Q$305,'逐题300'!$B$6:$B$305,A47)</x:f>
        <x:v>2811516</x:v>
      </x:c>
      <x:c r="H47" s="11" t="n">
        <x:f>SUMIFS('逐题300'!$S$6:$S$305,'逐题300'!$B$6:$B$305,A47)</x:f>
        <x:v>239</x:v>
      </x:c>
    </x:row>
    <x:row r="48" ht="23" customHeight="1">
      <x:c r="A48" s="2" t="str">
        <x:v>pytest-dev/pytest</x:v>
      </x:c>
      <x:c r="B48" s="2" t="n">
        <x:f>COUNTIFS('逐题300'!$B$6:$B$305,A48)</x:f>
        <x:v>17</x:v>
      </x:c>
      <x:c r="C48" s="2" t="n">
        <x:f>COUNTIFS('逐题300'!$B$6:$B$305,A48,'逐题300'!$G$6:$G$305,"通过")</x:f>
        <x:v>17</x:v>
      </x:c>
      <x:c r="D48" s="2" t="n">
        <x:f>COUNTIFS('逐题300'!$B$6:$B$305,A48,'逐题300'!$C$6:$C$305,"resolved")</x:f>
        <x:v>12</x:v>
      </x:c>
      <x:c r="E48" s="21" t="n">
        <x:f>D48/B48</x:f>
        <x:v>0.7058823529411765</x:v>
      </x:c>
      <x:c r="F48" s="21" t="n">
        <x:f>IF(C48=0,"n.a.",D48/C48)</x:f>
        <x:v>0.7058823529411765</x:v>
      </x:c>
      <x:c r="G48" s="11" t="n">
        <x:f>SUMIFS('逐题300'!$Q$6:$Q$305,'逐题300'!$B$6:$B$305,A48)</x:f>
        <x:v>5544704</x:v>
      </x:c>
      <x:c r="H48" s="11" t="n">
        <x:f>SUMIFS('逐题300'!$S$6:$S$305,'逐题300'!$B$6:$B$305,A48)</x:f>
        <x:v>516</x:v>
      </x:c>
    </x:row>
    <x:row r="49" ht="23" customHeight="1">
      <x:c r="A49" s="2" t="str">
        <x:v>scikit-learn/scikit-learn</x:v>
      </x:c>
      <x:c r="B49" s="2" t="n">
        <x:f>COUNTIFS('逐题300'!$B$6:$B$305,A49)</x:f>
        <x:v>23</x:v>
      </x:c>
      <x:c r="C49" s="2" t="n">
        <x:f>COUNTIFS('逐题300'!$B$6:$B$305,A49,'逐题300'!$G$6:$G$305,"通过")</x:f>
        <x:v>23</x:v>
      </x:c>
      <x:c r="D49" s="2" t="n">
        <x:f>COUNTIFS('逐题300'!$B$6:$B$305,A49,'逐题300'!$C$6:$C$305,"resolved")</x:f>
        <x:v>21</x:v>
      </x:c>
      <x:c r="E49" s="21" t="n">
        <x:f>D49/B49</x:f>
        <x:v>0.9130434782608695</x:v>
      </x:c>
      <x:c r="F49" s="21" t="n">
        <x:f>IF(C49=0,"n.a.",D49/C49)</x:f>
        <x:v>0.9130434782608695</x:v>
      </x:c>
      <x:c r="G49" s="11" t="n">
        <x:f>SUMIFS('逐题300'!$Q$6:$Q$305,'逐题300'!$B$6:$B$305,A49)</x:f>
        <x:v>5306421</x:v>
      </x:c>
      <x:c r="H49" s="11" t="n">
        <x:f>SUMIFS('逐题300'!$S$6:$S$305,'逐题300'!$B$6:$B$305,A49)</x:f>
        <x:v>500</x:v>
      </x:c>
    </x:row>
    <x:row r="50" ht="23" customHeight="1">
      <x:c r="A50" s="2" t="str">
        <x:v>sphinx-doc/sphinx</x:v>
      </x:c>
      <x:c r="B50" s="2" t="n">
        <x:f>COUNTIFS('逐题300'!$B$6:$B$305,A50)</x:f>
        <x:v>16</x:v>
      </x:c>
      <x:c r="C50" s="2" t="n">
        <x:f>COUNTIFS('逐题300'!$B$6:$B$305,A50,'逐题300'!$G$6:$G$305,"通过")</x:f>
        <x:v>16</x:v>
      </x:c>
      <x:c r="D50" s="2" t="n">
        <x:f>COUNTIFS('逐题300'!$B$6:$B$305,A50,'逐题300'!$C$6:$C$305,"resolved")</x:f>
        <x:v>10</x:v>
      </x:c>
      <x:c r="E50" s="21" t="n">
        <x:f>D50/B50</x:f>
        <x:v>0.625</x:v>
      </x:c>
      <x:c r="F50" s="21" t="n">
        <x:f>IF(C50=0,"n.a.",D50/C50)</x:f>
        <x:v>0.625</x:v>
      </x:c>
      <x:c r="G50" s="11" t="n">
        <x:f>SUMIFS('逐题300'!$Q$6:$Q$305,'逐题300'!$B$6:$B$305,A50)</x:f>
        <x:v>7467258</x:v>
      </x:c>
      <x:c r="H50" s="11" t="n">
        <x:f>SUMIFS('逐题300'!$S$6:$S$305,'逐题300'!$B$6:$B$305,A50)</x:f>
        <x:v>670</x:v>
      </x:c>
    </x:row>
    <x:row r="51" ht="23" customHeight="1">
      <x:c r="A51" s="2" t="str">
        <x:v>sympy/sympy</x:v>
      </x:c>
      <x:c r="B51" s="2" t="n">
        <x:f>COUNTIFS('逐题300'!$B$6:$B$305,A51)</x:f>
        <x:v>77</x:v>
      </x:c>
      <x:c r="C51" s="2" t="n">
        <x:f>COUNTIFS('逐题300'!$B$6:$B$305,A51,'逐题300'!$G$6:$G$305,"通过")</x:f>
        <x:v>77</x:v>
      </x:c>
      <x:c r="D51" s="2" t="n">
        <x:f>COUNTIFS('逐题300'!$B$6:$B$305,A51,'逐题300'!$C$6:$C$305,"resolved")</x:f>
        <x:v>48</x:v>
      </x:c>
      <x:c r="E51" s="21" t="n">
        <x:f>D51/B51</x:f>
        <x:v>0.6233766233766234</x:v>
      </x:c>
      <x:c r="F51" s="21" t="n">
        <x:f>IF(C51=0,"n.a.",D51/C51)</x:f>
        <x:v>0.6233766233766234</x:v>
      </x:c>
      <x:c r="G51" s="11" t="n">
        <x:f>SUMIFS('逐题300'!$Q$6:$Q$305,'逐题300'!$B$6:$B$305,A51)</x:f>
        <x:v>34471959</x:v>
      </x:c>
      <x:c r="H51" s="11" t="n">
        <x:f>SUMIFS('逐题300'!$S$6:$S$305,'逐题300'!$B$6:$B$305,A51)</x:f>
        <x:v>3051</x:v>
      </x:c>
    </x:row>
    <x:row r="52" ht="23" customHeight="1">
      <x:c r="A52" s="2"/>
      <x:c r="B52" s="2"/>
      <x:c r="C52" s="2"/>
      <x:c r="D52" s="2"/>
      <x:c r="E52" s="2"/>
      <x:c r="F52" s="2"/>
      <x:c r="G52" s="2"/>
      <x:c r="H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</x:row>
    <x:row r="54" ht="23" customHeight="1">
      <x:c r="A54" s="22" t="str">
        <x:v>数据来源与复核</x:v>
      </x:c>
      <x:c r="B54" s="2"/>
      <x:c r="C54" s="2"/>
      <x:c r="D54" s="2"/>
      <x:c r="E54" s="2"/>
      <x:c r="F54" s="2"/>
      <x:c r="G54" s="2"/>
      <x:c r="H54" s="2"/>
    </x:row>
    <x:row r="55" ht="23" customHeight="1">
      <x:c r="A55" s="23" t="str">
        <x:v>原始记录：task_output-wsl/lite-baseline-001；逐题与历史表的证据列保留定位路径。</x:v>
      </x:c>
      <x:c r="B55" s="2"/>
      <x:c r="C55" s="2"/>
      <x:c r="D55" s="2"/>
      <x:c r="E55" s="2"/>
      <x:c r="F55" s="2"/>
      <x:c r="G55" s="2"/>
      <x:c r="H55" s="2"/>
    </x:row>
    <x:row r="56" ht="23" customHeight="1">
      <x:c r="A56" s="23" t="str">
        <x:v>本工作簿读取同目录 instances.json、attempts.json；汇总由公式从两张明细表计算。</x:v>
      </x:c>
      <x:c r="B56" s="2"/>
      <x:c r="C56" s="2"/>
      <x:c r="D56" s="2"/>
      <x:c r="E56" s="2"/>
      <x:c r="F56" s="2"/>
      <x:c r="G56" s="2"/>
      <x:c r="H56" s="2"/>
    </x:row>
    <x:row r="57" ht="23" customHeight="1">
      <x:c r="A57" s="23" t="str">
        <x:v>已复核：官方报告与 state 判分一致，patch hash 一致，driver / source / dataset SHA 匹配 manifest。</x:v>
      </x:c>
      <x:c r="B57" s="2"/>
      <x:c r="C57" s="2"/>
      <x:c r="D57" s="2"/>
      <x:c r="E57" s="2"/>
      <x:c r="F57" s="2"/>
      <x:c r="G57" s="2"/>
      <x:c r="H57" s="2"/>
    </x:row>
    <x:row r="58" ht="23" customHeight="1">
      <x:c r="A58" s="23" t="str">
        <x:v>Gold 失败不直接证明题目有错；详细根因与边界见 report.md 和 harness_notes.md。</x:v>
      </x:c>
      <x:c r="B58" s="2"/>
      <x:c r="C58" s="2"/>
      <x:c r="D58" s="2"/>
      <x:c r="E58" s="2"/>
      <x:c r="F58" s="2"/>
      <x:c r="G58" s="2"/>
      <x:c r="H58" s="2"/>
    </x:row>
    <x:row r="59" ht="23" customHeight="1">
      <x:c r="A59" s="23" t="str">
        <x:v>Django-14155 有 1 条 F2P 解析漏记；另有真实 F2P 失败，整题未解决不变。</x:v>
      </x:c>
      <x:c r="B59" s="2"/>
      <x:c r="C59" s="2"/>
      <x:c r="D59" s="2"/>
      <x:c r="E59" s="2"/>
      <x:c r="F59" s="2"/>
      <x:c r="G59" s="2"/>
      <x:c r="H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0" hidden="0" customWidth="1"/>
    <x:col min="2" max="2" width="29" hidden="0" customWidth="1"/>
    <x:col min="3" max="3" width="17" hidden="0" customWidth="1"/>
    <x:col min="4" max="4" width="35" hidden="0" customWidth="1"/>
    <x:col min="5" max="5" width="79" hidden="0" customWidth="1"/>
    <x:col min="6" max="6" width="72" hidden="0" customWidth="1"/>
    <x:col min="7" max="7" width="15" hidden="0" customWidth="1"/>
    <x:col min="8" max="8" width="17" hidden="0" customWidth="1"/>
    <x:col min="9" max="9" width="13" hidden="0" customWidth="1"/>
    <x:col min="10" max="10" width="16" hidden="0" customWidth="1"/>
    <x:col min="11" max="11" width="20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8" hidden="0" customWidth="1"/>
    <x:col min="17" max="17" width="18" hidden="0" customWidth="1"/>
    <x:col min="18" max="18" width="14" hidden="0" customWidth="1"/>
    <x:col min="19" max="19" width="14" hidden="0" customWidth="1"/>
    <x:col min="20" max="20" width="15" hidden="0" customWidth="1"/>
    <x:col min="21" max="21" width="15" hidden="0" customWidth="1"/>
    <x:col min="22" max="22" width="77" hidden="0" customWidth="1"/>
    <x:col min="23" max="23" width="90" hidden="0" customWidth="1"/>
    <x:col min="24" max="24" width="115" hidden="0" customWidth="1"/>
    <x:col min="25" max="25" width="28" hidden="0" customWidth="1"/>
    <x:col min="26" max="26" width="20" hidden="0" customWidth="1"/>
    <x:col min="27" max="27" width="2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9" customHeight="1">
      <x:c r="A2" s="7" t="str">
        <x:v>SWE-bench Lite 逐题分析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3" customHeight="1">
      <x:c r="A3" s="8" t="str">
        <x:v>最新 attempt。可筛选未通过题目。F2P / P2P 为官方 tracked 测试分组；疑似截断不等于已确认 API stop_reason。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29" customHeight="1">
      <x:c r="A5" s="6" t="str">
        <x:v>题目 ID</x:v>
      </x:c>
      <x:c r="B5" s="6" t="str">
        <x:v>仓库</x:v>
      </x:c>
      <x:c r="C5" s="6" t="str">
        <x:v>官方结果</x:v>
      </x:c>
      <x:c r="D5" s="6" t="str">
        <x:v>归因分类</x:v>
      </x:c>
      <x:c r="E5" s="6" t="str">
        <x:v>分析摘要</x:v>
      </x:c>
      <x:c r="F5" s="6" t="str">
        <x:v>建议措施</x:v>
      </x:c>
      <x:c r="G5" s="6" t="str">
        <x:v>gold 验证</x:v>
      </x:c>
      <x:c r="H5" s="6" t="str">
        <x:v>Agent 状态</x:v>
      </x:c>
      <x:c r="I5" s="6" t="str">
        <x:v>attempt 数</x:v>
      </x:c>
      <x:c r="J5" s="6" t="str">
        <x:v>模型 attempt 数</x:v>
      </x:c>
      <x:c r="K5" s="6" t="str">
        <x:v>首次流水线结果</x:v>
      </x:c>
      <x:c r="L5" s="6" t="str">
        <x:v>F2P 成功</x:v>
      </x:c>
      <x:c r="M5" s="6" t="str">
        <x:v>F2P 失败</x:v>
      </x:c>
      <x:c r="N5" s="6" t="str">
        <x:v>P2P 成功</x:v>
      </x:c>
      <x:c r="O5" s="6" t="str">
        <x:v>P2P 失败</x:v>
      </x:c>
      <x:c r="P5" s="6" t="str">
        <x:v>最新 tokens</x:v>
      </x:c>
      <x:c r="Q5" s="6" t="str">
        <x:v>累计 tokens</x:v>
      </x:c>
      <x:c r="R5" s="6" t="str">
        <x:v>最新请求</x:v>
      </x:c>
      <x:c r="S5" s="6" t="str">
        <x:v>累计请求</x:v>
      </x:c>
      <x:c r="T5" s="6" t="str">
        <x:v>主模型轮数</x:v>
      </x:c>
      <x:c r="U5" s="6" t="str">
        <x:v>推理秒数</x:v>
      </x:c>
      <x:c r="V5" s="6" t="str">
        <x:v>修改文件</x:v>
      </x:c>
      <x:c r="W5" s="6" t="str">
        <x:v>官方失败测试</x:v>
      </x:c>
      <x:c r="X5" s="6" t="str">
        <x:v>证据路径</x:v>
      </x:c>
      <x:c r="Y5" s="6" t="str">
        <x:v>末轮内容类型</x:v>
      </x:c>
      <x:c r="Z5" s="6" t="str">
        <x:v>末轮输出 tokens</x:v>
      </x:c>
      <x:c r="AA5" s="6" t="str">
        <x:v>疑似 thinking 截断</x:v>
      </x:c>
    </x:row>
    <x:row r="6" ht="65" customHeight="1">
      <x:c r="A6" s="2" t="str">
        <x:v>matplotlib__matplotlib-23913</x:v>
      </x:c>
      <x:c r="B6" s="2" t="str">
        <x:v>matplotlib/matplotlib</x:v>
      </x:c>
      <x:c r="C6" s="2" t="str">
        <x:v>error</x:v>
      </x:c>
      <x:c r="D6" s="2" t="str">
        <x:v>gold验证失败，Agent未启动</x:v>
      </x:c>
      <x:c r="E6" s="10" t="str">
        <x:v>gold目标修复测试全部通过，但既有test_warn_big_data_best_loc期待UserWarning而实际未发出，P2P失败；属于本次测试警告行为/运行条件不满足。测试与大数据legend性能有关，疑计时或机器性能敏感，日志不足以断言具体阈值或gold代码错误。</x:v>
      </x:c>
      <x:c r="F6" s="10" t="str">
        <x:v>先修复/固定参考补丁可通过的评测环境，再单独重测；保留原始300题结果。</x:v>
      </x:c>
      <x:c r="G6" s="2" t="str">
        <x:v>未通过</x:v>
      </x:c>
      <x:c r="H6" s="2" t="str">
        <x:v>未启动</x:v>
      </x:c>
      <x:c r="I6" s="11" t="n">
        <x:v>2</x:v>
      </x:c>
      <x:c r="J6" s="11" t="n">
        <x:v>0</x:v>
      </x:c>
      <x:c r="K6" s="11" t="str">
        <x:v>error</x:v>
      </x:c>
      <x:c r="L6" s="11"/>
      <x:c r="M6" s="11"/>
      <x:c r="N6" s="11"/>
      <x:c r="O6" s="11"/>
      <x:c r="P6" s="11" t="n">
        <x:v>0</x:v>
      </x:c>
      <x:c r="Q6" s="11" t="n">
        <x:v>0</x:v>
      </x:c>
      <x:c r="R6" s="11" t="n">
        <x:v>0</x:v>
      </x:c>
      <x:c r="S6" s="11" t="n">
        <x:v>0</x:v>
      </x:c>
      <x:c r="T6" s="11"/>
      <x:c r="U6" s="12"/>
      <x:c r="V6" s="9" t="str"/>
      <x:c r="W6" s="9" t="str"/>
      <x:c r="X6" s="9" t="str">
        <x:v>task_output-wsl/lite-baseline-001/instances/matplotlib__matplotlib-23913/attempt-0002/gold/820eadf45f/logs/run_evaluation/akicode-559f352a5911-820eadf45f/gold/matplotlib__matplotlib-23913/test_output.txt
task_output-wsl/lite-baseline-001/instances/matplotlib__matplotlib-23913/attempt-0002/gold/820eadf45f/logs/run_evaluation/akicode-559f352a5911-820eadf45f/gold/matplotlib__matplotlib-23913/report.json</x:v>
      </x:c>
      <x:c r="Y6" s="2" t="str"/>
      <x:c r="Z6" s="11"/>
      <x:c r="AA6" s="11" t="n">
        <x:v>0</x:v>
      </x:c>
    </x:row>
    <x:row r="7" ht="65" customHeight="1">
      <x:c r="A7" s="2" t="str">
        <x:v>psf__requests-2317</x:v>
      </x:c>
      <x:c r="B7" s="2" t="str">
        <x:v>psf/requests</x:v>
      </x:c>
      <x:c r="C7" s="2" t="str">
        <x:v>error</x:v>
      </x:c>
      <x:c r="D7" s="2" t="str">
        <x:v>gold验证失败，Agent未启动</x:v>
      </x:c>
      <x:c r="E7" s="10" t="str">
        <x:v>gold目标修复测试全部通过；两条P2P连接超时测试使用TARPIT地址10.255.255.1，期望连接阶段超时，实际一次未抛超时、一次抛ReadTimeout。当前网络路由/连接行为不满足旧测试假设，不能据此判定gold算法错误。</x:v>
      </x:c>
      <x:c r="F7" s="10" t="str">
        <x:v>先修复/固定参考补丁可通过的评测环境，再单独重测；保留原始300题结果。</x:v>
      </x:c>
      <x:c r="G7" s="2" t="str">
        <x:v>未通过</x:v>
      </x:c>
      <x:c r="H7" s="2" t="str">
        <x:v>未启动</x:v>
      </x:c>
      <x:c r="I7" s="11" t="n">
        <x:v>2</x:v>
      </x:c>
      <x:c r="J7" s="11" t="n">
        <x:v>0</x:v>
      </x:c>
      <x:c r="K7" s="11" t="str">
        <x:v>error</x:v>
      </x:c>
      <x:c r="L7" s="11"/>
      <x:c r="M7" s="11"/>
      <x:c r="N7" s="11"/>
      <x:c r="O7" s="11"/>
      <x:c r="P7" s="11" t="n">
        <x:v>0</x:v>
      </x:c>
      <x:c r="Q7" s="11" t="n">
        <x:v>0</x:v>
      </x:c>
      <x:c r="R7" s="11" t="n">
        <x:v>0</x:v>
      </x:c>
      <x:c r="S7" s="11" t="n">
        <x:v>0</x:v>
      </x:c>
      <x:c r="T7" s="11"/>
      <x:c r="U7" s="12"/>
      <x:c r="V7" s="9" t="str"/>
      <x:c r="W7" s="9" t="str"/>
      <x:c r="X7" s="9" t="str">
        <x:v>task_output-wsl/lite-baseline-001/instances/psf__requests-2317/attempt-0002/gold/37b40ed436/logs/run_evaluation/akicode-559f352a5911-37b40ed436/gold/psf__requests-2317/test_output.txt
task_output-wsl/lite-baseline-001/instances/psf__requests-2317/attempt-0002/gold/37b40ed436/logs/run_evaluation/akicode-559f352a5911-37b40ed436/gold/psf__requests-2317/report.json</x:v>
      </x:c>
      <x:c r="Y7" s="2" t="str"/>
      <x:c r="Z7" s="11"/>
      <x:c r="AA7" s="11" t="n">
        <x:v>0</x:v>
      </x:c>
    </x:row>
    <x:row r="8" ht="65" customHeight="1">
      <x:c r="A8" s="2" t="str">
        <x:v>psf__requests-2674</x:v>
      </x:c>
      <x:c r="B8" s="2" t="str">
        <x:v>psf/requests</x:v>
      </x:c>
      <x:c r="C8" s="2" t="str">
        <x:v>error</x:v>
      </x:c>
      <x:c r="D8" s="2" t="str">
        <x:v>gold验证失败，Agent未启动</x:v>
      </x:c>
      <x:c r="E8" s="10" t="str">
        <x:v>gold目标修复测试全部通过；两条P2P连接超时测试使用TARPIT地址10.255.255.1，期望连接阶段超时，实际一次未抛超时、一次抛ReadTimeout。当前网络路由/连接行为不满足旧测试假设，不能据此判定gold算法错误。</x:v>
      </x:c>
      <x:c r="F8" s="10" t="str">
        <x:v>先修复/固定参考补丁可通过的评测环境，再单独重测；保留原始300题结果。</x:v>
      </x:c>
      <x:c r="G8" s="2" t="str">
        <x:v>未通过</x:v>
      </x:c>
      <x:c r="H8" s="2" t="str">
        <x:v>未启动</x:v>
      </x:c>
      <x:c r="I8" s="11" t="n">
        <x:v>2</x:v>
      </x:c>
      <x:c r="J8" s="11" t="n">
        <x:v>0</x:v>
      </x:c>
      <x:c r="K8" s="11" t="str">
        <x:v>error</x:v>
      </x:c>
      <x:c r="L8" s="11"/>
      <x:c r="M8" s="11"/>
      <x:c r="N8" s="11"/>
      <x:c r="O8" s="11"/>
      <x:c r="P8" s="11" t="n">
        <x:v>0</x:v>
      </x:c>
      <x:c r="Q8" s="11" t="n">
        <x:v>0</x:v>
      </x:c>
      <x:c r="R8" s="11" t="n">
        <x:v>0</x:v>
      </x:c>
      <x:c r="S8" s="11" t="n">
        <x:v>0</x:v>
      </x:c>
      <x:c r="T8" s="11"/>
      <x:c r="U8" s="12"/>
      <x:c r="V8" s="9" t="str"/>
      <x:c r="W8" s="9" t="str"/>
      <x:c r="X8" s="9" t="str">
        <x:v>task_output-wsl/lite-baseline-001/instances/psf__requests-2674/attempt-0002/gold/39661fe5b9/logs/run_evaluation/akicode-559f352a5911-39661fe5b9/gold/psf__requests-2674/test_output.txt
task_output-wsl/lite-baseline-001/instances/psf__requests-2674/attempt-0002/gold/39661fe5b9/logs/run_evaluation/akicode-559f352a5911-39661fe5b9/gold/psf__requests-2674/report.json</x:v>
      </x:c>
      <x:c r="Y8" s="2" t="str"/>
      <x:c r="Z8" s="11"/>
      <x:c r="AA8" s="11" t="n">
        <x:v>0</x:v>
      </x:c>
    </x:row>
    <x:row r="9" ht="65" customHeight="1">
      <x:c r="A9" s="2" t="str">
        <x:v>psf__requests-3362</x:v>
      </x:c>
      <x:c r="B9" s="2" t="str">
        <x:v>psf/requests</x:v>
      </x:c>
      <x:c r="C9" s="2" t="str">
        <x:v>error</x:v>
      </x:c>
      <x:c r="D9" s="2" t="str">
        <x:v>gold验证失败，Agent未启动</x:v>
      </x:c>
      <x:c r="E9" s="10" t="str">
        <x:v>gold目标修复测试全部通过；两条P2P连接超时测试使用TARPIT地址10.255.255.1，期望连接阶段超时，实际一次未抛超时、一次抛ReadTimeout。当前网络路由/连接行为不满足旧测试假设，不能据此判定gold算法错误。</x:v>
      </x:c>
      <x:c r="F9" s="10" t="str">
        <x:v>先修复/固定参考补丁可通过的评测环境，再单独重测；保留原始300题结果。</x:v>
      </x:c>
      <x:c r="G9" s="2" t="str">
        <x:v>未通过</x:v>
      </x:c>
      <x:c r="H9" s="2" t="str">
        <x:v>未启动</x:v>
      </x:c>
      <x:c r="I9" s="11" t="n">
        <x:v>2</x:v>
      </x:c>
      <x:c r="J9" s="11" t="n">
        <x:v>0</x:v>
      </x:c>
      <x:c r="K9" s="11" t="str">
        <x:v>error</x:v>
      </x:c>
      <x:c r="L9" s="11"/>
      <x:c r="M9" s="11"/>
      <x:c r="N9" s="11"/>
      <x:c r="O9" s="11"/>
      <x:c r="P9" s="11" t="n">
        <x:v>0</x:v>
      </x:c>
      <x:c r="Q9" s="11" t="n">
        <x:v>0</x:v>
      </x:c>
      <x:c r="R9" s="11" t="n">
        <x:v>0</x:v>
      </x:c>
      <x:c r="S9" s="11" t="n">
        <x:v>0</x:v>
      </x:c>
      <x:c r="T9" s="11"/>
      <x:c r="U9" s="12"/>
      <x:c r="V9" s="9" t="str"/>
      <x:c r="W9" s="9" t="str"/>
      <x:c r="X9" s="9" t="str">
        <x:v>task_output-wsl/lite-baseline-001/instances/psf__requests-3362/attempt-0002/gold/e9987352e0/logs/run_evaluation/akicode-559f352a5911-e9987352e0/gold/psf__requests-3362/test_output.txt
task_output-wsl/lite-baseline-001/instances/psf__requests-3362/attempt-0002/gold/e9987352e0/logs/run_evaluation/akicode-559f352a5911-e9987352e0/gold/psf__requests-3362/report.json</x:v>
      </x:c>
      <x:c r="Y9" s="2" t="str"/>
      <x:c r="Z9" s="11"/>
      <x:c r="AA9" s="11" t="n">
        <x:v>0</x:v>
      </x:c>
    </x:row>
    <x:row r="10" ht="65" customHeight="1">
      <x:c r="A10" s="2" t="str">
        <x:v>psf__requests-863</x:v>
      </x:c>
      <x:c r="B10" s="2" t="str">
        <x:v>psf/requests</x:v>
      </x:c>
      <x:c r="C10" s="2" t="str">
        <x:v>error</x:v>
      </x:c>
      <x:c r="D10" s="2" t="str">
        <x:v>gold验证失败，Agent未启动</x:v>
      </x:c>
      <x:c r="E10" s="10" t="str">
        <x:v>gold目标修复测试全部通过；P2P test_connection_keepalive_and_close期望httpbin响应Connection为keep-alive，实际为close。外部服务或网络连接行为与旧测试假设不符；不能据此认定gold修复代码错误。</x:v>
      </x:c>
      <x:c r="F10" s="10" t="str">
        <x:v>先修复/固定参考补丁可通过的评测环境，再单独重测；保留原始300题结果。</x:v>
      </x:c>
      <x:c r="G10" s="2" t="str">
        <x:v>未通过</x:v>
      </x:c>
      <x:c r="H10" s="2" t="str">
        <x:v>未启动</x:v>
      </x:c>
      <x:c r="I10" s="11" t="n">
        <x:v>2</x:v>
      </x:c>
      <x:c r="J10" s="11" t="n">
        <x:v>0</x:v>
      </x:c>
      <x:c r="K10" s="11" t="str">
        <x:v>error</x:v>
      </x:c>
      <x:c r="L10" s="11"/>
      <x:c r="M10" s="11"/>
      <x:c r="N10" s="11"/>
      <x:c r="O10" s="11"/>
      <x:c r="P10" s="11" t="n">
        <x:v>0</x:v>
      </x:c>
      <x:c r="Q10" s="11" t="n">
        <x:v>0</x:v>
      </x:c>
      <x:c r="R10" s="11" t="n">
        <x:v>0</x:v>
      </x:c>
      <x:c r="S10" s="11" t="n">
        <x:v>0</x:v>
      </x:c>
      <x:c r="T10" s="11"/>
      <x:c r="U10" s="12"/>
      <x:c r="V10" s="9" t="str"/>
      <x:c r="W10" s="9" t="str"/>
      <x:c r="X10" s="9" t="str">
        <x:v>task_output-wsl/lite-baseline-001/instances/psf__requests-863/attempt-0002/gold/4edbfc3f67/logs/run_evaluation/akicode-559f352a5911-4edbfc3f67/gold/psf__requests-863/test_output.txt
task_output-wsl/lite-baseline-001/instances/psf__requests-863/attempt-0002/gold/4edbfc3f67/logs/run_evaluation/akicode-559f352a5911-4edbfc3f67/gold/psf__requests-863/report.json</x:v>
      </x:c>
      <x:c r="Y10" s="2" t="str"/>
      <x:c r="Z10" s="11"/>
      <x:c r="AA10" s="11" t="n">
        <x:v>0</x:v>
      </x:c>
    </x:row>
    <x:row r="11" ht="79" customHeight="1">
      <x:c r="A11" s="2" t="str">
        <x:v>astropy__astropy-14182</x:v>
      </x:c>
      <x:c r="B11" s="2" t="str">
        <x:v>astropy/astropy</x:v>
      </x:c>
      <x:c r="C11" s="2" t="str">
        <x:v>empty_patch</x:v>
      </x:c>
      <x:c r="D11" s="2" t="str">
        <x:v>API流式连接中断</x:v>
      </x:c>
      <x:c r="E11" s="10" t="str">
        <x:v>模型API流式响应断开（incomplete chunked read），agent异常终止且最终补丁为空，未运行grading。日志只能证明这次运行受外部连接故障中断，无法据此判断其本可解题。</x:v>
      </x:c>
      <x:c r="F11" s="10" t="str">
        <x:v>对流式读失败做可恢复重试/断点续跑，再在相同参数下单独重测。</x:v>
      </x:c>
      <x:c r="G11" s="2" t="str">
        <x:v>通过</x:v>
      </x:c>
      <x:c r="H11" s="2" t="str">
        <x:v>error</x:v>
      </x:c>
      <x:c r="I11" s="11" t="n">
        <x:v>1</x:v>
      </x:c>
      <x:c r="J11" s="11" t="n">
        <x:v>1</x:v>
      </x:c>
      <x:c r="K11" s="11" t="str">
        <x:v>empty_patch</x:v>
      </x:c>
      <x:c r="L11" s="11"/>
      <x:c r="M11" s="11"/>
      <x:c r="N11" s="11"/>
      <x:c r="O11" s="11"/>
      <x:c r="P11" s="11" t="n">
        <x:v>261334</x:v>
      </x:c>
      <x:c r="Q11" s="11" t="n">
        <x:v>261334</x:v>
      </x:c>
      <x:c r="R11" s="11" t="n">
        <x:v>24</x:v>
      </x:c>
      <x:c r="S11" s="11" t="n">
        <x:v>24</x:v>
      </x:c>
      <x:c r="T11" s="11" t="n">
        <x:v>24</x:v>
      </x:c>
      <x:c r="U11" s="12" t="n">
        <x:v>49.528</x:v>
      </x:c>
      <x:c r="V11" s="9" t="str"/>
      <x:c r="W11" s="9" t="str"/>
      <x:c r="X11" s="9" t="str">
        <x:v>task_output-wsl/lite-baseline-001/instances/astropy__astropy-14182/attempt-0001/state.json
task_output-wsl/lite-baseline-001/instances/astropy__astropy-14182/attempt-0001/agent/run/result.json
task_output-wsl/lite-baseline-001/instances/astropy__astropy-14182/attempt-0001/agent/run/events.jsonl
task_output-wsl/lite-baseline-001/instances/astropy__astropy-14182/attempt-0001/agent-console.log
task_output-wsl/lite-baseline-001/instances/astropy__astropy-14182/attempt-0001/patch.json</x:v>
      </x:c>
      <x:c r="Y11" s="2" t="str">
        <x:v>thinking
tool_use</x:v>
      </x:c>
      <x:c r="Z11" s="11" t="n">
        <x:v>96</x:v>
      </x:c>
      <x:c r="AA11" s="11" t="n">
        <x:v>0</x:v>
      </x:c>
    </x:row>
    <x:row r="12" ht="51" customHeight="1">
      <x:c r="A12" s="2" t="str">
        <x:v>astropy__astropy-6938</x:v>
      </x:c>
      <x:c r="B12" s="2" t="str">
        <x:v>astropy/astropy</x:v>
      </x:c>
      <x:c r="C12" s="2" t="str">
        <x:v>empty_patch</x:v>
      </x:c>
      <x:c r="D12" s="2" t="str">
        <x:v>Runner不支持子模块工作区</x:v>
      </x:c>
      <x:c r="E12" s="10" t="str">
        <x:v>agent-console.log记录ValueError: Submodule workspaces are not supported by this runner yet.；未生成result.json，补丁为空。属于runner工作区识别/兼容故障，非代码修复错误。</x:v>
      </x:c>
      <x:c r="F12" s="10" t="str">
        <x:v>修正容器内仓库/submodule工作区识别，在启动阶段预检查，再重测。</x:v>
      </x:c>
      <x:c r="G12" s="2" t="str">
        <x:v>通过</x:v>
      </x:c>
      <x:c r="H12" s="2" t="str">
        <x:v>error</x:v>
      </x:c>
      <x:c r="I12" s="11" t="n">
        <x:v>1</x:v>
      </x:c>
      <x:c r="J12" s="11" t="n">
        <x:v>1</x:v>
      </x:c>
      <x:c r="K12" s="11" t="str">
        <x:v>empty_patch</x:v>
      </x:c>
      <x:c r="L12" s="11"/>
      <x:c r="M12" s="11"/>
      <x:c r="N12" s="11"/>
      <x:c r="O12" s="11"/>
      <x:c r="P12" s="11" t="n">
        <x:v>0</x:v>
      </x:c>
      <x:c r="Q12" s="11" t="n">
        <x:v>0</x:v>
      </x:c>
      <x:c r="R12" s="11" t="n">
        <x:v>0</x:v>
      </x:c>
      <x:c r="S12" s="11" t="n">
        <x:v>0</x:v>
      </x:c>
      <x:c r="T12" s="11"/>
      <x:c r="U12" s="12"/>
      <x:c r="V12" s="9" t="str"/>
      <x:c r="W12" s="9" t="str"/>
      <x:c r="X12" s="9" t="str">
        <x:v>task_output-wsl/lite-baseline-001/instances/astropy__astropy-6938/attempt-0001/state.json
task_output-wsl/lite-baseline-001/instances/astropy__astropy-6938/attempt-0001/agent-console.log
task_output-wsl/lite-baseline-001/instances/astropy__astropy-6938/attempt-0001/patch.json</x:v>
      </x:c>
      <x:c r="Y12" s="2" t="str"/>
      <x:c r="Z12" s="11"/>
      <x:c r="AA12" s="11" t="n">
        <x:v>0</x:v>
      </x:c>
    </x:row>
    <x:row r="13" ht="51" customHeight="1">
      <x:c r="A13" s="2" t="str">
        <x:v>astropy__astropy-7746</x:v>
      </x:c>
      <x:c r="B13" s="2" t="str">
        <x:v>astropy/astropy</x:v>
      </x:c>
      <x:c r="C13" s="2" t="str">
        <x:v>empty_patch</x:v>
      </x:c>
      <x:c r="D13" s="2" t="str">
        <x:v>Runner不支持子模块工作区</x:v>
      </x:c>
      <x:c r="E13" s="10" t="str">
        <x:v>agent-console.log记录ValueError: Submodule workspaces are not supported by this runner yet.；未生成result.json，补丁为空。属于runner工作区识别/兼容故障，非代码修复错误。</x:v>
      </x:c>
      <x:c r="F13" s="10" t="str">
        <x:v>修正容器内仓库/submodule工作区识别，在启动阶段预检查，再重测。</x:v>
      </x:c>
      <x:c r="G13" s="2" t="str">
        <x:v>通过</x:v>
      </x:c>
      <x:c r="H13" s="2" t="str">
        <x:v>error</x:v>
      </x:c>
      <x:c r="I13" s="11" t="n">
        <x:v>1</x:v>
      </x:c>
      <x:c r="J13" s="11" t="n">
        <x:v>1</x:v>
      </x:c>
      <x:c r="K13" s="11" t="str">
        <x:v>empty_patch</x:v>
      </x:c>
      <x:c r="L13" s="11"/>
      <x:c r="M13" s="11"/>
      <x:c r="N13" s="11"/>
      <x:c r="O13" s="11"/>
      <x:c r="P13" s="11" t="n">
        <x:v>0</x:v>
      </x:c>
      <x:c r="Q13" s="11" t="n">
        <x:v>0</x:v>
      </x:c>
      <x:c r="R13" s="11" t="n">
        <x:v>0</x:v>
      </x:c>
      <x:c r="S13" s="11" t="n">
        <x:v>0</x:v>
      </x:c>
      <x:c r="T13" s="11"/>
      <x:c r="U13" s="12"/>
      <x:c r="V13" s="9" t="str"/>
      <x:c r="W13" s="9" t="str"/>
      <x:c r="X13" s="9" t="str">
        <x:v>task_output-wsl/lite-baseline-001/instances/astropy__astropy-7746/attempt-0001/state.json
task_output-wsl/lite-baseline-001/instances/astropy__astropy-7746/attempt-0001/agent-console.log
task_output-wsl/lite-baseline-001/instances/astropy__astropy-7746/attempt-0001/patch.json</x:v>
      </x:c>
      <x:c r="Y13" s="2" t="str"/>
      <x:c r="Z13" s="11"/>
      <x:c r="AA13" s="11" t="n">
        <x:v>0</x:v>
      </x:c>
    </x:row>
    <x:row r="14" ht="79" customHeight="1">
      <x:c r="A14" s="2" t="str">
        <x:v>django__django-11564</x:v>
      </x:c>
      <x:c r="B14" s="2" t="str">
        <x:v>django/django</x:v>
      </x:c>
      <x:c r="C14" s="2" t="str">
        <x:v>empty_patch</x:v>
      </x:c>
      <x:c r="D14" s="2" t="str">
        <x:v>疑似thinking输出截断且无补丁</x:v>
      </x:c>
      <x:c r="E14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14" s="10" t="str">
        <x:v>保存并检查finish_reason/stop_reason；对仅thinking或length结束继续推理/执行，完成前检查实际补丁是否存在。</x:v>
      </x:c>
      <x:c r="G14" s="2" t="str">
        <x:v>通过</x:v>
      </x:c>
      <x:c r="H14" s="2" t="str">
        <x:v>completed</x:v>
      </x:c>
      <x:c r="I14" s="11" t="n">
        <x:v>2</x:v>
      </x:c>
      <x:c r="J14" s="11" t="n">
        <x:v>2</x:v>
      </x:c>
      <x:c r="K14" s="11" t="str">
        <x:v>error</x:v>
      </x:c>
      <x:c r="L14" s="11"/>
      <x:c r="M14" s="11"/>
      <x:c r="N14" s="11"/>
      <x:c r="O14" s="11"/>
      <x:c r="P14" s="11" t="n">
        <x:v>271957</x:v>
      </x:c>
      <x:c r="Q14" s="11" t="n">
        <x:v>500498</x:v>
      </x:c>
      <x:c r="R14" s="11" t="n">
        <x:v>24</x:v>
      </x:c>
      <x:c r="S14" s="11" t="n">
        <x:v>45</x:v>
      </x:c>
      <x:c r="T14" s="11" t="n">
        <x:v>23</x:v>
      </x:c>
      <x:c r="U14" s="12" t="n">
        <x:v>93.524</x:v>
      </x:c>
      <x:c r="V14" s="9" t="str"/>
      <x:c r="W14" s="9" t="str"/>
      <x:c r="X14" s="9" t="str">
        <x:v>task_output-wsl/lite-baseline-001/instances/django__django-11564/attempt-0002/state.json
task_output-wsl/lite-baseline-001/instances/django__django-11564/attempt-0002/agent/run/result.json
task_output-wsl/lite-baseline-001/instances/django__django-11564/attempt-0002/agent/run/events.jsonl
task_output-wsl/lite-baseline-001/instances/django__django-11564/attempt-0002/agent-console.log
task_output-wsl/lite-baseline-001/instances/django__django-11564/attempt-0002/patch.json</x:v>
      </x:c>
      <x:c r="Y14" s="2" t="str">
        <x:v>thinking</x:v>
      </x:c>
      <x:c r="Z14" s="11" t="n">
        <x:v>4096</x:v>
      </x:c>
      <x:c r="AA14" s="11" t="n">
        <x:v>1</x:v>
      </x:c>
    </x:row>
    <x:row r="15" ht="79" customHeight="1">
      <x:c r="A15" s="2" t="str">
        <x:v>django__django-11630</x:v>
      </x:c>
      <x:c r="B15" s="2" t="str">
        <x:v>django/django</x:v>
      </x:c>
      <x:c r="C15" s="2" t="str">
        <x:v>empty_patch</x:v>
      </x:c>
      <x:c r="D15" s="2" t="str">
        <x:v>疑似thinking输出截断且无补丁</x:v>
      </x:c>
      <x:c r="E15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15" s="10" t="str">
        <x:v>保存并检查finish_reason/stop_reason；对仅thinking或length结束继续推理/执行，完成前检查实际补丁是否存在。</x:v>
      </x:c>
      <x:c r="G15" s="2" t="str">
        <x:v>通过</x:v>
      </x:c>
      <x:c r="H15" s="2" t="str">
        <x:v>completed</x:v>
      </x:c>
      <x:c r="I15" s="11" t="n">
        <x:v>2</x:v>
      </x:c>
      <x:c r="J15" s="11" t="n">
        <x:v>1</x:v>
      </x:c>
      <x:c r="K15" s="11" t="str">
        <x:v>error</x:v>
      </x:c>
      <x:c r="L15" s="11"/>
      <x:c r="M15" s="11"/>
      <x:c r="N15" s="11"/>
      <x:c r="O15" s="11"/>
      <x:c r="P15" s="11" t="n">
        <x:v>374324</x:v>
      </x:c>
      <x:c r="Q15" s="11" t="n">
        <x:v>374324</x:v>
      </x:c>
      <x:c r="R15" s="11" t="n">
        <x:v>34</x:v>
      </x:c>
      <x:c r="S15" s="11" t="n">
        <x:v>34</x:v>
      </x:c>
      <x:c r="T15" s="11" t="n">
        <x:v>31</x:v>
      </x:c>
      <x:c r="U15" s="12" t="n">
        <x:v>158.639</x:v>
      </x:c>
      <x:c r="V15" s="9" t="str"/>
      <x:c r="W15" s="9" t="str"/>
      <x:c r="X15" s="9" t="str">
        <x:v>task_output-wsl/lite-baseline-001/instances/django__django-11630/attempt-0002/state.json
task_output-wsl/lite-baseline-001/instances/django__django-11630/attempt-0002/agent/run/result.json
task_output-wsl/lite-baseline-001/instances/django__django-11630/attempt-0002/agent/run/events.jsonl
task_output-wsl/lite-baseline-001/instances/django__django-11630/attempt-0002/agent-console.log
task_output-wsl/lite-baseline-001/instances/django__django-11630/attempt-0002/patch.json</x:v>
      </x:c>
      <x:c r="Y15" s="2" t="str">
        <x:v>thinking</x:v>
      </x:c>
      <x:c r="Z15" s="11" t="n">
        <x:v>4096</x:v>
      </x:c>
      <x:c r="AA15" s="11" t="n">
        <x:v>1</x:v>
      </x:c>
    </x:row>
    <x:row r="16" ht="79" customHeight="1">
      <x:c r="A16" s="2" t="str">
        <x:v>django__django-11742</x:v>
      </x:c>
      <x:c r="B16" s="2" t="str">
        <x:v>django/django</x:v>
      </x:c>
      <x:c r="C16" s="2" t="str">
        <x:v>empty_patch</x:v>
      </x:c>
      <x:c r="D16" s="2" t="str">
        <x:v>API流式连接中断</x:v>
      </x:c>
      <x:c r="E16" s="10" t="str">
        <x:v>模型API流式响应断开（incomplete chunked read），agent异常终止且最终补丁为空，未运行grading。日志只能证明这次运行受外部连接故障中断，无法据此判断其本可解题。</x:v>
      </x:c>
      <x:c r="F16" s="10" t="str">
        <x:v>对流式读失败做可恢复重试/断点续跑，再在相同参数下单独重测。</x:v>
      </x:c>
      <x:c r="G16" s="2" t="str">
        <x:v>通过</x:v>
      </x:c>
      <x:c r="H16" s="2" t="str">
        <x:v>error</x:v>
      </x:c>
      <x:c r="I16" s="11" t="n">
        <x:v>1</x:v>
      </x:c>
      <x:c r="J16" s="11" t="n">
        <x:v>1</x:v>
      </x:c>
      <x:c r="K16" s="11" t="str">
        <x:v>empty_patch</x:v>
      </x:c>
      <x:c r="L16" s="11"/>
      <x:c r="M16" s="11"/>
      <x:c r="N16" s="11"/>
      <x:c r="O16" s="11"/>
      <x:c r="P16" s="11" t="n">
        <x:v>14321</x:v>
      </x:c>
      <x:c r="Q16" s="11" t="n">
        <x:v>14321</x:v>
      </x:c>
      <x:c r="R16" s="11" t="n">
        <x:v>8</x:v>
      </x:c>
      <x:c r="S16" s="11" t="n">
        <x:v>8</x:v>
      </x:c>
      <x:c r="T16" s="11" t="n">
        <x:v>5</x:v>
      </x:c>
      <x:c r="U16" s="12" t="n">
        <x:v>25.459</x:v>
      </x:c>
      <x:c r="V16" s="9" t="str"/>
      <x:c r="W16" s="9" t="str"/>
      <x:c r="X16" s="9" t="str">
        <x:v>task_output-wsl/lite-baseline-001/instances/django__django-11742/attempt-0001/state.json
task_output-wsl/lite-baseline-001/instances/django__django-11742/attempt-0001/agent/run/result.json
task_output-wsl/lite-baseline-001/instances/django__django-11742/attempt-0001/agent/run/events.jsonl
task_output-wsl/lite-baseline-001/instances/django__django-11742/attempt-0001/agent-console.log
task_output-wsl/lite-baseline-001/instances/django__django-11742/attempt-0001/patch.json</x:v>
      </x:c>
      <x:c r="Y16" s="2" t="str">
        <x:v>thinking
tool_use</x:v>
      </x:c>
      <x:c r="Z16" s="11" t="n">
        <x:v>60</x:v>
      </x:c>
      <x:c r="AA16" s="11" t="n">
        <x:v>0</x:v>
      </x:c>
    </x:row>
    <x:row r="17" ht="79" customHeight="1">
      <x:c r="A17" s="2" t="str">
        <x:v>django__django-11848</x:v>
      </x:c>
      <x:c r="B17" s="2" t="str">
        <x:v>django/django</x:v>
      </x:c>
      <x:c r="C17" s="2" t="str">
        <x:v>empty_patch</x:v>
      </x:c>
      <x:c r="D17" s="2" t="str">
        <x:v>API流式连接中断</x:v>
      </x:c>
      <x:c r="E17" s="10" t="str">
        <x:v>模型API流式响应断开（incomplete chunked read），agent异常终止且最终补丁为空，未运行grading。日志只能证明这次运行受外部连接故障中断，无法据此判断其本可解题。</x:v>
      </x:c>
      <x:c r="F17" s="10" t="str">
        <x:v>对流式读失败做可恢复重试/断点续跑，再在相同参数下单独重测。</x:v>
      </x:c>
      <x:c r="G17" s="2" t="str">
        <x:v>通过</x:v>
      </x:c>
      <x:c r="H17" s="2" t="str">
        <x:v>error</x:v>
      </x:c>
      <x:c r="I17" s="11" t="n">
        <x:v>1</x:v>
      </x:c>
      <x:c r="J17" s="11" t="n">
        <x:v>1</x:v>
      </x:c>
      <x:c r="K17" s="11" t="str">
        <x:v>empty_patch</x:v>
      </x:c>
      <x:c r="L17" s="11"/>
      <x:c r="M17" s="11"/>
      <x:c r="N17" s="11"/>
      <x:c r="O17" s="11"/>
      <x:c r="P17" s="11" t="n">
        <x:v>2155</x:v>
      </x:c>
      <x:c r="Q17" s="11" t="n">
        <x:v>2155</x:v>
      </x:c>
      <x:c r="R17" s="11" t="n">
        <x:v>2</x:v>
      </x:c>
      <x:c r="S17" s="11" t="n">
        <x:v>2</x:v>
      </x:c>
      <x:c r="T17" s="11" t="n">
        <x:v>2</x:v>
      </x:c>
      <x:c r="U17" s="12" t="n">
        <x:v>2.369</x:v>
      </x:c>
      <x:c r="V17" s="9" t="str"/>
      <x:c r="W17" s="9" t="str"/>
      <x:c r="X17" s="9" t="str">
        <x:v>task_output-wsl/lite-baseline-001/instances/django__django-11848/attempt-0001/state.json
task_output-wsl/lite-baseline-001/instances/django__django-11848/attempt-0001/agent/run/result.json
task_output-wsl/lite-baseline-001/instances/django__django-11848/attempt-0001/agent/run/events.jsonl
task_output-wsl/lite-baseline-001/instances/django__django-11848/attempt-0001/agent-console.log
task_output-wsl/lite-baseline-001/instances/django__django-11848/attempt-0001/patch.json</x:v>
      </x:c>
      <x:c r="Y17" s="2" t="str">
        <x:v>thinking
tool_use</x:v>
      </x:c>
      <x:c r="Z17" s="11" t="n">
        <x:v>101</x:v>
      </x:c>
      <x:c r="AA17" s="11" t="n">
        <x:v>0</x:v>
      </x:c>
    </x:row>
    <x:row r="18" ht="79" customHeight="1">
      <x:c r="A18" s="2" t="str">
        <x:v>django__django-11910</x:v>
      </x:c>
      <x:c r="B18" s="2" t="str">
        <x:v>django/django</x:v>
      </x:c>
      <x:c r="C18" s="2" t="str">
        <x:v>empty_patch</x:v>
      </x:c>
      <x:c r="D18" s="2" t="str">
        <x:v>达到轮数上限且无补丁</x:v>
      </x:c>
      <x:c r="E18" s="10" t="str">
        <x:v>达到60个lead model turns上限，最终未留下可收集的工作树补丁，grading未运行。日志显示主要在阅读、复现和方案探索；仅增加轮数能否成功尚无证据。</x:v>
      </x:c>
      <x:c r="F18" s="10" t="str">
        <x:v>在前段轮次完成最小补丁并测试，设置剩余轮次提示/检查点；减少重复阅读和低收益探索。</x:v>
      </x:c>
      <x:c r="G18" s="2" t="str">
        <x:v>通过</x:v>
      </x:c>
      <x:c r="H18" s="2" t="str">
        <x:v>limit</x:v>
      </x:c>
      <x:c r="I18" s="11" t="n">
        <x:v>2</x:v>
      </x:c>
      <x:c r="J18" s="11" t="n">
        <x:v>1</x:v>
      </x:c>
      <x:c r="K18" s="11" t="str">
        <x:v>error</x:v>
      </x:c>
      <x:c r="L18" s="11"/>
      <x:c r="M18" s="11"/>
      <x:c r="N18" s="11"/>
      <x:c r="O18" s="11"/>
      <x:c r="P18" s="11" t="n">
        <x:v>655639</x:v>
      </x:c>
      <x:c r="Q18" s="11" t="n">
        <x:v>655639</x:v>
      </x:c>
      <x:c r="R18" s="11" t="n">
        <x:v>63</x:v>
      </x:c>
      <x:c r="S18" s="11" t="n">
        <x:v>63</x:v>
      </x:c>
      <x:c r="T18" s="11" t="n">
        <x:v>60</x:v>
      </x:c>
      <x:c r="U18" s="12" t="n">
        <x:v>154.12</x:v>
      </x:c>
      <x:c r="V18" s="9" t="str"/>
      <x:c r="W18" s="9" t="str"/>
      <x:c r="X18" s="9" t="str">
        <x:v>task_output-wsl/lite-baseline-001/instances/django__django-11910/attempt-0002/state.json
task_output-wsl/lite-baseline-001/instances/django__django-11910/attempt-0002/agent/run/result.json
task_output-wsl/lite-baseline-001/instances/django__django-11910/attempt-0002/agent/run/events.jsonl
task_output-wsl/lite-baseline-001/instances/django__django-11910/attempt-0002/agent-console.log
task_output-wsl/lite-baseline-001/instances/django__django-11910/attempt-0002/patch.json</x:v>
      </x:c>
      <x:c r="Y18" s="2" t="str">
        <x:v>thinking
tool_use
tool_use</x:v>
      </x:c>
      <x:c r="Z18" s="11" t="n">
        <x:v>151</x:v>
      </x:c>
      <x:c r="AA18" s="11" t="n">
        <x:v>0</x:v>
      </x:c>
    </x:row>
    <x:row r="19" ht="79" customHeight="1">
      <x:c r="A19" s="2" t="str">
        <x:v>django__django-12125</x:v>
      </x:c>
      <x:c r="B19" s="2" t="str">
        <x:v>django/django</x:v>
      </x:c>
      <x:c r="C19" s="2" t="str">
        <x:v>empty_patch</x:v>
      </x:c>
      <x:c r="D19" s="2" t="str">
        <x:v>疑似thinking输出截断且无补丁</x:v>
      </x:c>
      <x:c r="E19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19" s="10" t="str">
        <x:v>保存并检查finish_reason/stop_reason；对仅thinking或length结束继续推理/执行，完成前检查实际补丁是否存在。</x:v>
      </x:c>
      <x:c r="G19" s="2" t="str">
        <x:v>通过</x:v>
      </x:c>
      <x:c r="H19" s="2" t="str">
        <x:v>completed</x:v>
      </x:c>
      <x:c r="I19" s="11" t="n">
        <x:v>1</x:v>
      </x:c>
      <x:c r="J19" s="11" t="n">
        <x:v>1</x:v>
      </x:c>
      <x:c r="K19" s="11" t="str">
        <x:v>empty_patch</x:v>
      </x:c>
      <x:c r="L19" s="11"/>
      <x:c r="M19" s="11"/>
      <x:c r="N19" s="11"/>
      <x:c r="O19" s="11"/>
      <x:c r="P19" s="11" t="n">
        <x:v>293006</x:v>
      </x:c>
      <x:c r="Q19" s="11" t="n">
        <x:v>293006</x:v>
      </x:c>
      <x:c r="R19" s="11" t="n">
        <x:v>29</x:v>
      </x:c>
      <x:c r="S19" s="11" t="n">
        <x:v>29</x:v>
      </x:c>
      <x:c r="T19" s="11" t="n">
        <x:v>28</x:v>
      </x:c>
      <x:c r="U19" s="12" t="n">
        <x:v>89.222</x:v>
      </x:c>
      <x:c r="V19" s="9" t="str"/>
      <x:c r="W19" s="9" t="str"/>
      <x:c r="X19" s="9" t="str">
        <x:v>task_output-wsl/lite-baseline-001/instances/django__django-12125/attempt-0001/state.json
task_output-wsl/lite-baseline-001/instances/django__django-12125/attempt-0001/agent/run/result.json
task_output-wsl/lite-baseline-001/instances/django__django-12125/attempt-0001/agent/run/events.jsonl
task_output-wsl/lite-baseline-001/instances/django__django-12125/attempt-0001/agent-console.log
task_output-wsl/lite-baseline-001/instances/django__django-12125/attempt-0001/patch.json</x:v>
      </x:c>
      <x:c r="Y19" s="2" t="str">
        <x:v>thinking</x:v>
      </x:c>
      <x:c r="Z19" s="11" t="n">
        <x:v>4096</x:v>
      </x:c>
      <x:c r="AA19" s="11" t="n">
        <x:v>1</x:v>
      </x:c>
    </x:row>
    <x:row r="20" ht="79" customHeight="1">
      <x:c r="A20" s="2" t="str">
        <x:v>django__django-14017</x:v>
      </x:c>
      <x:c r="B20" s="2" t="str">
        <x:v>django/django</x:v>
      </x:c>
      <x:c r="C20" s="2" t="str">
        <x:v>empty_patch</x:v>
      </x:c>
      <x:c r="D20" s="2" t="str">
        <x:v>疑似thinking输出截断且无补丁</x:v>
      </x:c>
      <x:c r="E20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20" s="10" t="str">
        <x:v>保存并检查finish_reason/stop_reason；对仅thinking或length结束继续推理/执行，完成前检查实际补丁是否存在。</x:v>
      </x:c>
      <x:c r="G20" s="2" t="str">
        <x:v>通过</x:v>
      </x:c>
      <x:c r="H20" s="2" t="str">
        <x:v>completed</x:v>
      </x:c>
      <x:c r="I20" s="11" t="n">
        <x:v>1</x:v>
      </x:c>
      <x:c r="J20" s="11" t="n">
        <x:v>1</x:v>
      </x:c>
      <x:c r="K20" s="11" t="str">
        <x:v>empty_patch</x:v>
      </x:c>
      <x:c r="L20" s="11"/>
      <x:c r="M20" s="11"/>
      <x:c r="N20" s="11"/>
      <x:c r="O20" s="11"/>
      <x:c r="P20" s="11" t="n">
        <x:v>431309</x:v>
      </x:c>
      <x:c r="Q20" s="11" t="n">
        <x:v>431309</x:v>
      </x:c>
      <x:c r="R20" s="11" t="n">
        <x:v>38</x:v>
      </x:c>
      <x:c r="S20" s="11" t="n">
        <x:v>38</x:v>
      </x:c>
      <x:c r="T20" s="11" t="n">
        <x:v>36</x:v>
      </x:c>
      <x:c r="U20" s="12" t="n">
        <x:v>125.166</x:v>
      </x:c>
      <x:c r="V20" s="9" t="str"/>
      <x:c r="W20" s="9" t="str"/>
      <x:c r="X20" s="9" t="str">
        <x:v>task_output-wsl/lite-baseline-001/instances/django__django-14017/attempt-0001/state.json
task_output-wsl/lite-baseline-001/instances/django__django-14017/attempt-0001/agent/run/result.json
task_output-wsl/lite-baseline-001/instances/django__django-14017/attempt-0001/agent/run/events.jsonl
task_output-wsl/lite-baseline-001/instances/django__django-14017/attempt-0001/agent-console.log
task_output-wsl/lite-baseline-001/instances/django__django-14017/attempt-0001/patch.json</x:v>
      </x:c>
      <x:c r="Y20" s="2" t="str">
        <x:v>thinking</x:v>
      </x:c>
      <x:c r="Z20" s="11" t="n">
        <x:v>4096</x:v>
      </x:c>
      <x:c r="AA20" s="11" t="n">
        <x:v>1</x:v>
      </x:c>
    </x:row>
    <x:row r="21" ht="79" customHeight="1">
      <x:c r="A21" s="2" t="str">
        <x:v>django__django-14997</x:v>
      </x:c>
      <x:c r="B21" s="2" t="str">
        <x:v>django/django</x:v>
      </x:c>
      <x:c r="C21" s="2" t="str">
        <x:v>empty_patch</x:v>
      </x:c>
      <x:c r="D21" s="2" t="str">
        <x:v>达到轮数上限且无补丁</x:v>
      </x:c>
      <x:c r="E21" s="10" t="str">
        <x:v>达到60个lead model turns上限，最终未留下可收集的工作树补丁，grading未运行。日志显示主要在阅读、复现和方案探索；仅增加轮数能否成功尚无证据。</x:v>
      </x:c>
      <x:c r="F21" s="10" t="str">
        <x:v>在前段轮次完成最小补丁并测试，设置剩余轮次提示/检查点；减少重复阅读和低收益探索。</x:v>
      </x:c>
      <x:c r="G21" s="2" t="str">
        <x:v>通过</x:v>
      </x:c>
      <x:c r="H21" s="2" t="str">
        <x:v>limit</x:v>
      </x:c>
      <x:c r="I21" s="11" t="n">
        <x:v>1</x:v>
      </x:c>
      <x:c r="J21" s="11" t="n">
        <x:v>1</x:v>
      </x:c>
      <x:c r="K21" s="11" t="str">
        <x:v>empty_patch</x:v>
      </x:c>
      <x:c r="L21" s="11"/>
      <x:c r="M21" s="11"/>
      <x:c r="N21" s="11"/>
      <x:c r="O21" s="11"/>
      <x:c r="P21" s="11" t="n">
        <x:v>755310</x:v>
      </x:c>
      <x:c r="Q21" s="11" t="n">
        <x:v>755310</x:v>
      </x:c>
      <x:c r="R21" s="11" t="n">
        <x:v>61</x:v>
      </x:c>
      <x:c r="S21" s="11" t="n">
        <x:v>61</x:v>
      </x:c>
      <x:c r="T21" s="11" t="n">
        <x:v>60</x:v>
      </x:c>
      <x:c r="U21" s="12" t="n">
        <x:v>98.41</x:v>
      </x:c>
      <x:c r="V21" s="9" t="str"/>
      <x:c r="W21" s="9" t="str"/>
      <x:c r="X21" s="9" t="str">
        <x:v>task_output-wsl/lite-baseline-001/instances/django__django-14997/attempt-0001/state.json
task_output-wsl/lite-baseline-001/instances/django__django-14997/attempt-0001/agent/run/result.json
task_output-wsl/lite-baseline-001/instances/django__django-14997/attempt-0001/agent/run/events.jsonl
task_output-wsl/lite-baseline-001/instances/django__django-14997/attempt-0001/agent-console.log
task_output-wsl/lite-baseline-001/instances/django__django-14997/attempt-0001/patch.json</x:v>
      </x:c>
      <x:c r="Y21" s="2" t="str">
        <x:v>thinking
tool_use
tool_use</x:v>
      </x:c>
      <x:c r="Z21" s="11" t="n">
        <x:v>200</x:v>
      </x:c>
      <x:c r="AA21" s="11" t="n">
        <x:v>0</x:v>
      </x:c>
    </x:row>
    <x:row r="22" ht="79" customHeight="1">
      <x:c r="A22" s="2" t="str">
        <x:v>django__django-15213</x:v>
      </x:c>
      <x:c r="B22" s="2" t="str">
        <x:v>django/django</x:v>
      </x:c>
      <x:c r="C22" s="2" t="str">
        <x:v>empty_patch</x:v>
      </x:c>
      <x:c r="D22" s="2" t="str">
        <x:v>达到轮数上限且无补丁</x:v>
      </x:c>
      <x:c r="E22" s="10" t="str">
        <x:v>达到60个lead model turns上限，最终未留下可收集的工作树补丁，grading未运行。日志显示主要在阅读、复现和方案探索；仅增加轮数能否成功尚无证据。</x:v>
      </x:c>
      <x:c r="F22" s="10" t="str">
        <x:v>在前段轮次完成最小补丁并测试，设置剩余轮次提示/检查点；减少重复阅读和低收益探索。</x:v>
      </x:c>
      <x:c r="G22" s="2" t="str">
        <x:v>通过</x:v>
      </x:c>
      <x:c r="H22" s="2" t="str">
        <x:v>limit</x:v>
      </x:c>
      <x:c r="I22" s="11" t="n">
        <x:v>1</x:v>
      </x:c>
      <x:c r="J22" s="11" t="n">
        <x:v>1</x:v>
      </x:c>
      <x:c r="K22" s="11" t="str">
        <x:v>empty_patch</x:v>
      </x:c>
      <x:c r="L22" s="11"/>
      <x:c r="M22" s="11"/>
      <x:c r="N22" s="11"/>
      <x:c r="O22" s="11"/>
      <x:c r="P22" s="11" t="n">
        <x:v>693682</x:v>
      </x:c>
      <x:c r="Q22" s="11" t="n">
        <x:v>693682</x:v>
      </x:c>
      <x:c r="R22" s="11" t="n">
        <x:v>60</x:v>
      </x:c>
      <x:c r="S22" s="11" t="n">
        <x:v>60</x:v>
      </x:c>
      <x:c r="T22" s="11" t="n">
        <x:v>60</x:v>
      </x:c>
      <x:c r="U22" s="12" t="n">
        <x:v>99.918</x:v>
      </x:c>
      <x:c r="V22" s="9" t="str"/>
      <x:c r="W22" s="9" t="str"/>
      <x:c r="X22" s="9" t="str">
        <x:v>task_output-wsl/lite-baseline-001/instances/django__django-15213/attempt-0001/state.json
task_output-wsl/lite-baseline-001/instances/django__django-15213/attempt-0001/agent/run/result.json
task_output-wsl/lite-baseline-001/instances/django__django-15213/attempt-0001/agent/run/events.jsonl
task_output-wsl/lite-baseline-001/instances/django__django-15213/attempt-0001/agent-console.log
task_output-wsl/lite-baseline-001/instances/django__django-15213/attempt-0001/patch.json</x:v>
      </x:c>
      <x:c r="Y22" s="2" t="str">
        <x:v>thinking
tool_use</x:v>
      </x:c>
      <x:c r="Z22" s="11" t="n">
        <x:v>117</x:v>
      </x:c>
      <x:c r="AA22" s="11" t="n">
        <x:v>0</x:v>
      </x:c>
    </x:row>
    <x:row r="23" ht="79" customHeight="1">
      <x:c r="A23" s="2" t="str">
        <x:v>django__django-15252</x:v>
      </x:c>
      <x:c r="B23" s="2" t="str">
        <x:v>django/django</x:v>
      </x:c>
      <x:c r="C23" s="2" t="str">
        <x:v>empty_patch</x:v>
      </x:c>
      <x:c r="D23" s="2" t="str">
        <x:v>达到轮数上限且无补丁</x:v>
      </x:c>
      <x:c r="E23" s="10" t="str">
        <x:v>达到60个lead model turns上限，最终未留下可收集的工作树补丁，grading未运行。日志显示主要在阅读、复现和方案探索；仅增加轮数能否成功尚无证据。</x:v>
      </x:c>
      <x:c r="F23" s="10" t="str">
        <x:v>在前段轮次完成最小补丁并测试，设置剩余轮次提示/检查点；减少重复阅读和低收益探索。</x:v>
      </x:c>
      <x:c r="G23" s="2" t="str">
        <x:v>通过</x:v>
      </x:c>
      <x:c r="H23" s="2" t="str">
        <x:v>limit</x:v>
      </x:c>
      <x:c r="I23" s="11" t="n">
        <x:v>1</x:v>
      </x:c>
      <x:c r="J23" s="11" t="n">
        <x:v>1</x:v>
      </x:c>
      <x:c r="K23" s="11" t="str">
        <x:v>empty_patch</x:v>
      </x:c>
      <x:c r="L23" s="11"/>
      <x:c r="M23" s="11"/>
      <x:c r="N23" s="11"/>
      <x:c r="O23" s="11"/>
      <x:c r="P23" s="11" t="n">
        <x:v>744192</x:v>
      </x:c>
      <x:c r="Q23" s="11" t="n">
        <x:v>744192</x:v>
      </x:c>
      <x:c r="R23" s="11" t="n">
        <x:v>62</x:v>
      </x:c>
      <x:c r="S23" s="11" t="n">
        <x:v>62</x:v>
      </x:c>
      <x:c r="T23" s="11" t="n">
        <x:v>60</x:v>
      </x:c>
      <x:c r="U23" s="12" t="n">
        <x:v>169.458</x:v>
      </x:c>
      <x:c r="V23" s="9" t="str"/>
      <x:c r="W23" s="9" t="str"/>
      <x:c r="X23" s="9" t="str">
        <x:v>task_output-wsl/lite-baseline-001/instances/django__django-15252/attempt-0001/state.json
task_output-wsl/lite-baseline-001/instances/django__django-15252/attempt-0001/agent/run/result.json
task_output-wsl/lite-baseline-001/instances/django__django-15252/attempt-0001/agent/run/events.jsonl
task_output-wsl/lite-baseline-001/instances/django__django-15252/attempt-0001/agent-console.log
task_output-wsl/lite-baseline-001/instances/django__django-15252/attempt-0001/patch.json</x:v>
      </x:c>
      <x:c r="Y23" s="2" t="str">
        <x:v>thinking
tool_use</x:v>
      </x:c>
      <x:c r="Z23" s="11" t="n">
        <x:v>95</x:v>
      </x:c>
      <x:c r="AA23" s="11" t="n">
        <x:v>0</x:v>
      </x:c>
    </x:row>
    <x:row r="24" ht="79" customHeight="1">
      <x:c r="A24" s="2" t="str">
        <x:v>django__django-15388</x:v>
      </x:c>
      <x:c r="B24" s="2" t="str">
        <x:v>django/django</x:v>
      </x:c>
      <x:c r="C24" s="2" t="str">
        <x:v>empty_patch</x:v>
      </x:c>
      <x:c r="D24" s="2" t="str">
        <x:v>疑似thinking输出截断且无补丁</x:v>
      </x:c>
      <x:c r="E24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24" s="10" t="str">
        <x:v>保存并检查finish_reason/stop_reason；对仅thinking或length结束继续推理/执行，完成前检查实际补丁是否存在。</x:v>
      </x:c>
      <x:c r="G24" s="2" t="str">
        <x:v>通过</x:v>
      </x:c>
      <x:c r="H24" s="2" t="str">
        <x:v>completed</x:v>
      </x:c>
      <x:c r="I24" s="11" t="n">
        <x:v>1</x:v>
      </x:c>
      <x:c r="J24" s="11" t="n">
        <x:v>1</x:v>
      </x:c>
      <x:c r="K24" s="11" t="str">
        <x:v>empty_patch</x:v>
      </x:c>
      <x:c r="L24" s="11"/>
      <x:c r="M24" s="11"/>
      <x:c r="N24" s="11"/>
      <x:c r="O24" s="11"/>
      <x:c r="P24" s="11" t="n">
        <x:v>108226</x:v>
      </x:c>
      <x:c r="Q24" s="11" t="n">
        <x:v>108226</x:v>
      </x:c>
      <x:c r="R24" s="11" t="n">
        <x:v>11</x:v>
      </x:c>
      <x:c r="S24" s="11" t="n">
        <x:v>11</x:v>
      </x:c>
      <x:c r="T24" s="11" t="n">
        <x:v>11</x:v>
      </x:c>
      <x:c r="U24" s="12" t="n">
        <x:v>43.587</x:v>
      </x:c>
      <x:c r="V24" s="9" t="str"/>
      <x:c r="W24" s="9" t="str"/>
      <x:c r="X24" s="9" t="str">
        <x:v>task_output-wsl/lite-baseline-001/instances/django__django-15388/attempt-0001/state.json
task_output-wsl/lite-baseline-001/instances/django__django-15388/attempt-0001/agent/run/result.json
task_output-wsl/lite-baseline-001/instances/django__django-15388/attempt-0001/agent/run/events.jsonl
task_output-wsl/lite-baseline-001/instances/django__django-15388/attempt-0001/agent-console.log
task_output-wsl/lite-baseline-001/instances/django__django-15388/attempt-0001/patch.json</x:v>
      </x:c>
      <x:c r="Y24" s="2" t="str">
        <x:v>thinking</x:v>
      </x:c>
      <x:c r="Z24" s="11" t="n">
        <x:v>4096</x:v>
      </x:c>
      <x:c r="AA24" s="11" t="n">
        <x:v>1</x:v>
      </x:c>
    </x:row>
    <x:row r="25" ht="79" customHeight="1">
      <x:c r="A25" s="2" t="str">
        <x:v>django__django-15400</x:v>
      </x:c>
      <x:c r="B25" s="2" t="str">
        <x:v>django/django</x:v>
      </x:c>
      <x:c r="C25" s="2" t="str">
        <x:v>empty_patch</x:v>
      </x:c>
      <x:c r="D25" s="2" t="str">
        <x:v>疑似thinking输出截断且无补丁</x:v>
      </x:c>
      <x:c r="E25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25" s="10" t="str">
        <x:v>保存并检查finish_reason/stop_reason；对仅thinking或length结束继续推理/执行，完成前检查实际补丁是否存在。</x:v>
      </x:c>
      <x:c r="G25" s="2" t="str">
        <x:v>通过</x:v>
      </x:c>
      <x:c r="H25" s="2" t="str">
        <x:v>completed</x:v>
      </x:c>
      <x:c r="I25" s="11" t="n">
        <x:v>1</x:v>
      </x:c>
      <x:c r="J25" s="11" t="n">
        <x:v>1</x:v>
      </x:c>
      <x:c r="K25" s="11" t="str">
        <x:v>empty_patch</x:v>
      </x:c>
      <x:c r="L25" s="11"/>
      <x:c r="M25" s="11"/>
      <x:c r="N25" s="11"/>
      <x:c r="O25" s="11"/>
      <x:c r="P25" s="11" t="n">
        <x:v>135667</x:v>
      </x:c>
      <x:c r="Q25" s="11" t="n">
        <x:v>135667</x:v>
      </x:c>
      <x:c r="R25" s="11" t="n">
        <x:v>13</x:v>
      </x:c>
      <x:c r="S25" s="11" t="n">
        <x:v>13</x:v>
      </x:c>
      <x:c r="T25" s="11" t="n">
        <x:v>13</x:v>
      </x:c>
      <x:c r="U25" s="12" t="n">
        <x:v>49.819</x:v>
      </x:c>
      <x:c r="V25" s="9" t="str"/>
      <x:c r="W25" s="9" t="str"/>
      <x:c r="X25" s="9" t="str">
        <x:v>task_output-wsl/lite-baseline-001/instances/django__django-15400/attempt-0001/state.json
task_output-wsl/lite-baseline-001/instances/django__django-15400/attempt-0001/agent/run/result.json
task_output-wsl/lite-baseline-001/instances/django__django-15400/attempt-0001/agent/run/events.jsonl
task_output-wsl/lite-baseline-001/instances/django__django-15400/attempt-0001/agent-console.log
task_output-wsl/lite-baseline-001/instances/django__django-15400/attempt-0001/patch.json</x:v>
      </x:c>
      <x:c r="Y25" s="2" t="str">
        <x:v>thinking</x:v>
      </x:c>
      <x:c r="Z25" s="11" t="n">
        <x:v>4096</x:v>
      </x:c>
      <x:c r="AA25" s="11" t="n">
        <x:v>1</x:v>
      </x:c>
    </x:row>
    <x:row r="26" ht="79" customHeight="1">
      <x:c r="A26" s="2" t="str">
        <x:v>django__django-15695</x:v>
      </x:c>
      <x:c r="B26" s="2" t="str">
        <x:v>django/django</x:v>
      </x:c>
      <x:c r="C26" s="2" t="str">
        <x:v>empty_patch</x:v>
      </x:c>
      <x:c r="D26" s="2" t="str">
        <x:v>疑似thinking输出截断且无补丁</x:v>
      </x:c>
      <x:c r="E26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26" s="10" t="str">
        <x:v>保存并检查finish_reason/stop_reason；对仅thinking或length结束继续推理/执行，完成前检查实际补丁是否存在。</x:v>
      </x:c>
      <x:c r="G26" s="2" t="str">
        <x:v>通过</x:v>
      </x:c>
      <x:c r="H26" s="2" t="str">
        <x:v>completed</x:v>
      </x:c>
      <x:c r="I26" s="11" t="n">
        <x:v>1</x:v>
      </x:c>
      <x:c r="J26" s="11" t="n">
        <x:v>1</x:v>
      </x:c>
      <x:c r="K26" s="11" t="str">
        <x:v>empty_patch</x:v>
      </x:c>
      <x:c r="L26" s="11"/>
      <x:c r="M26" s="11"/>
      <x:c r="N26" s="11"/>
      <x:c r="O26" s="11"/>
      <x:c r="P26" s="11" t="n">
        <x:v>212555</x:v>
      </x:c>
      <x:c r="Q26" s="11" t="n">
        <x:v>212555</x:v>
      </x:c>
      <x:c r="R26" s="11" t="n">
        <x:v>21</x:v>
      </x:c>
      <x:c r="S26" s="11" t="n">
        <x:v>21</x:v>
      </x:c>
      <x:c r="T26" s="11" t="n">
        <x:v>19</x:v>
      </x:c>
      <x:c r="U26" s="12" t="n">
        <x:v>112.217</x:v>
      </x:c>
      <x:c r="V26" s="9" t="str"/>
      <x:c r="W26" s="9" t="str"/>
      <x:c r="X26" s="9" t="str">
        <x:v>task_output-wsl/lite-baseline-001/instances/django__django-15695/attempt-0001/state.json
task_output-wsl/lite-baseline-001/instances/django__django-15695/attempt-0001/agent/run/result.json
task_output-wsl/lite-baseline-001/instances/django__django-15695/attempt-0001/agent/run/events.jsonl
task_output-wsl/lite-baseline-001/instances/django__django-15695/attempt-0001/agent-console.log
task_output-wsl/lite-baseline-001/instances/django__django-15695/attempt-0001/patch.json</x:v>
      </x:c>
      <x:c r="Y26" s="2" t="str">
        <x:v>thinking</x:v>
      </x:c>
      <x:c r="Z26" s="11" t="n">
        <x:v>4096</x:v>
      </x:c>
      <x:c r="AA26" s="11" t="n">
        <x:v>1</x:v>
      </x:c>
    </x:row>
    <x:row r="27" ht="79" customHeight="1">
      <x:c r="A27" s="2" t="str">
        <x:v>django__django-15996</x:v>
      </x:c>
      <x:c r="B27" s="2" t="str">
        <x:v>django/django</x:v>
      </x:c>
      <x:c r="C27" s="2" t="str">
        <x:v>empty_patch</x:v>
      </x:c>
      <x:c r="D27" s="2" t="str">
        <x:v>疑似thinking输出截断且无补丁</x:v>
      </x:c>
      <x:c r="E27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27" s="10" t="str">
        <x:v>保存并检查finish_reason/stop_reason；对仅thinking或length结束继续推理/执行，完成前检查实际补丁是否存在。</x:v>
      </x:c>
      <x:c r="G27" s="2" t="str">
        <x:v>通过</x:v>
      </x:c>
      <x:c r="H27" s="2" t="str">
        <x:v>completed</x:v>
      </x:c>
      <x:c r="I27" s="11" t="n">
        <x:v>1</x:v>
      </x:c>
      <x:c r="J27" s="11" t="n">
        <x:v>1</x:v>
      </x:c>
      <x:c r="K27" s="11" t="str">
        <x:v>empty_patch</x:v>
      </x:c>
      <x:c r="L27" s="11"/>
      <x:c r="M27" s="11"/>
      <x:c r="N27" s="11"/>
      <x:c r="O27" s="11"/>
      <x:c r="P27" s="11" t="n">
        <x:v>214260</x:v>
      </x:c>
      <x:c r="Q27" s="11" t="n">
        <x:v>214260</x:v>
      </x:c>
      <x:c r="R27" s="11" t="n">
        <x:v>22</x:v>
      </x:c>
      <x:c r="S27" s="11" t="n">
        <x:v>22</x:v>
      </x:c>
      <x:c r="T27" s="11" t="n">
        <x:v>21</x:v>
      </x:c>
      <x:c r="U27" s="12" t="n">
        <x:v>91.719</x:v>
      </x:c>
      <x:c r="V27" s="9" t="str"/>
      <x:c r="W27" s="9" t="str"/>
      <x:c r="X27" s="9" t="str">
        <x:v>task_output-wsl/lite-baseline-001/instances/django__django-15996/attempt-0001/state.json
task_output-wsl/lite-baseline-001/instances/django__django-15996/attempt-0001/agent/run/result.json
task_output-wsl/lite-baseline-001/instances/django__django-15996/attempt-0001/agent/run/events.jsonl
task_output-wsl/lite-baseline-001/instances/django__django-15996/attempt-0001/agent-console.log
task_output-wsl/lite-baseline-001/instances/django__django-15996/attempt-0001/patch.json</x:v>
      </x:c>
      <x:c r="Y27" s="2" t="str">
        <x:v>thinking</x:v>
      </x:c>
      <x:c r="Z27" s="11" t="n">
        <x:v>4096</x:v>
      </x:c>
      <x:c r="AA27" s="11" t="n">
        <x:v>1</x:v>
      </x:c>
    </x:row>
    <x:row r="28" ht="79" customHeight="1">
      <x:c r="A28" s="2" t="str">
        <x:v>django__django-16408</x:v>
      </x:c>
      <x:c r="B28" s="2" t="str">
        <x:v>django/django</x:v>
      </x:c>
      <x:c r="C28" s="2" t="str">
        <x:v>empty_patch</x:v>
      </x:c>
      <x:c r="D28" s="2" t="str">
        <x:v>达到轮数上限且无补丁</x:v>
      </x:c>
      <x:c r="E28" s="10" t="str">
        <x:v>达到60个lead model turns上限，最终未留下可收集的工作树补丁，grading未运行。日志显示主要在阅读、复现和方案探索；仅增加轮数能否成功尚无证据。</x:v>
      </x:c>
      <x:c r="F28" s="10" t="str">
        <x:v>在前段轮次完成最小补丁并测试，设置剩余轮次提示/检查点；减少重复阅读和低收益探索。</x:v>
      </x:c>
      <x:c r="G28" s="2" t="str">
        <x:v>通过</x:v>
      </x:c>
      <x:c r="H28" s="2" t="str">
        <x:v>limit</x:v>
      </x:c>
      <x:c r="I28" s="11" t="n">
        <x:v>1</x:v>
      </x:c>
      <x:c r="J28" s="11" t="n">
        <x:v>1</x:v>
      </x:c>
      <x:c r="K28" s="11" t="str">
        <x:v>empty_patch</x:v>
      </x:c>
      <x:c r="L28" s="11"/>
      <x:c r="M28" s="11"/>
      <x:c r="N28" s="11"/>
      <x:c r="O28" s="11"/>
      <x:c r="P28" s="11" t="n">
        <x:v>683025</x:v>
      </x:c>
      <x:c r="Q28" s="11" t="n">
        <x:v>683025</x:v>
      </x:c>
      <x:c r="R28" s="11" t="n">
        <x:v>61</x:v>
      </x:c>
      <x:c r="S28" s="11" t="n">
        <x:v>61</x:v>
      </x:c>
      <x:c r="T28" s="11" t="n">
        <x:v>60</x:v>
      </x:c>
      <x:c r="U28" s="12" t="n">
        <x:v>112.128</x:v>
      </x:c>
      <x:c r="V28" s="9" t="str"/>
      <x:c r="W28" s="9" t="str"/>
      <x:c r="X28" s="9" t="str">
        <x:v>task_output-wsl/lite-baseline-001/instances/django__django-16408/attempt-0001/state.json
task_output-wsl/lite-baseline-001/instances/django__django-16408/attempt-0001/agent/run/result.json
task_output-wsl/lite-baseline-001/instances/django__django-16408/attempt-0001/agent/run/events.jsonl
task_output-wsl/lite-baseline-001/instances/django__django-16408/attempt-0001/agent-console.log
task_output-wsl/lite-baseline-001/instances/django__django-16408/attempt-0001/patch.json</x:v>
      </x:c>
      <x:c r="Y28" s="2" t="str">
        <x:v>thinking
tool_use</x:v>
      </x:c>
      <x:c r="Z28" s="11" t="n">
        <x:v>61</x:v>
      </x:c>
      <x:c r="AA28" s="11" t="n">
        <x:v>0</x:v>
      </x:c>
    </x:row>
    <x:row r="29" ht="79" customHeight="1">
      <x:c r="A29" s="2" t="str">
        <x:v>django__django-16816</x:v>
      </x:c>
      <x:c r="B29" s="2" t="str">
        <x:v>django/django</x:v>
      </x:c>
      <x:c r="C29" s="2" t="str">
        <x:v>empty_patch</x:v>
      </x:c>
      <x:c r="D29" s="2" t="str">
        <x:v>疑似thinking输出截断且无补丁</x:v>
      </x:c>
      <x:c r="E29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29" s="10" t="str">
        <x:v>保存并检查finish_reason/stop_reason；对仅thinking或length结束继续推理/执行，完成前检查实际补丁是否存在。</x:v>
      </x:c>
      <x:c r="G29" s="2" t="str">
        <x:v>通过</x:v>
      </x:c>
      <x:c r="H29" s="2" t="str">
        <x:v>completed</x:v>
      </x:c>
      <x:c r="I29" s="11" t="n">
        <x:v>1</x:v>
      </x:c>
      <x:c r="J29" s="11" t="n">
        <x:v>1</x:v>
      </x:c>
      <x:c r="K29" s="11" t="str">
        <x:v>empty_patch</x:v>
      </x:c>
      <x:c r="L29" s="11"/>
      <x:c r="M29" s="11"/>
      <x:c r="N29" s="11"/>
      <x:c r="O29" s="11"/>
      <x:c r="P29" s="11" t="n">
        <x:v>577698</x:v>
      </x:c>
      <x:c r="Q29" s="11" t="n">
        <x:v>577698</x:v>
      </x:c>
      <x:c r="R29" s="11" t="n">
        <x:v>55</x:v>
      </x:c>
      <x:c r="S29" s="11" t="n">
        <x:v>55</x:v>
      </x:c>
      <x:c r="T29" s="11" t="n">
        <x:v>51</x:v>
      </x:c>
      <x:c r="U29" s="12" t="n">
        <x:v>178.623</x:v>
      </x:c>
      <x:c r="V29" s="9" t="str"/>
      <x:c r="W29" s="9" t="str"/>
      <x:c r="X29" s="9" t="str">
        <x:v>task_output-wsl/lite-baseline-001/instances/django__django-16816/attempt-0001/state.json
task_output-wsl/lite-baseline-001/instances/django__django-16816/attempt-0001/agent/run/result.json
task_output-wsl/lite-baseline-001/instances/django__django-16816/attempt-0001/agent/run/events.jsonl
task_output-wsl/lite-baseline-001/instances/django__django-16816/attempt-0001/agent-console.log
task_output-wsl/lite-baseline-001/instances/django__django-16816/attempt-0001/patch.json</x:v>
      </x:c>
      <x:c r="Y29" s="2" t="str">
        <x:v>thinking</x:v>
      </x:c>
      <x:c r="Z29" s="11" t="n">
        <x:v>4096</x:v>
      </x:c>
      <x:c r="AA29" s="11" t="n">
        <x:v>1</x:v>
      </x:c>
    </x:row>
    <x:row r="30" ht="79" customHeight="1">
      <x:c r="A30" s="2" t="str">
        <x:v>django__django-16820</x:v>
      </x:c>
      <x:c r="B30" s="2" t="str">
        <x:v>django/django</x:v>
      </x:c>
      <x:c r="C30" s="2" t="str">
        <x:v>empty_patch</x:v>
      </x:c>
      <x:c r="D30" s="2" t="str">
        <x:v>达到轮数上限且无补丁</x:v>
      </x:c>
      <x:c r="E30" s="10" t="str">
        <x:v>达到60个lead model turns上限，最终未留下可收集的工作树补丁，grading未运行。日志显示主要在阅读、复现和方案探索；仅增加轮数能否成功尚无证据。</x:v>
      </x:c>
      <x:c r="F30" s="10" t="str">
        <x:v>在前段轮次完成最小补丁并测试，设置剩余轮次提示/检查点；减少重复阅读和低收益探索。</x:v>
      </x:c>
      <x:c r="G30" s="2" t="str">
        <x:v>通过</x:v>
      </x:c>
      <x:c r="H30" s="2" t="str">
        <x:v>limit</x:v>
      </x:c>
      <x:c r="I30" s="11" t="n">
        <x:v>1</x:v>
      </x:c>
      <x:c r="J30" s="11" t="n">
        <x:v>1</x:v>
      </x:c>
      <x:c r="K30" s="11" t="str">
        <x:v>empty_patch</x:v>
      </x:c>
      <x:c r="L30" s="11"/>
      <x:c r="M30" s="11"/>
      <x:c r="N30" s="11"/>
      <x:c r="O30" s="11"/>
      <x:c r="P30" s="11" t="n">
        <x:v>616642</x:v>
      </x:c>
      <x:c r="Q30" s="11" t="n">
        <x:v>616642</x:v>
      </x:c>
      <x:c r="R30" s="11" t="n">
        <x:v>62</x:v>
      </x:c>
      <x:c r="S30" s="11" t="n">
        <x:v>62</x:v>
      </x:c>
      <x:c r="T30" s="11" t="n">
        <x:v>60</x:v>
      </x:c>
      <x:c r="U30" s="12" t="n">
        <x:v>115.381</x:v>
      </x:c>
      <x:c r="V30" s="9" t="str"/>
      <x:c r="W30" s="9" t="str"/>
      <x:c r="X30" s="9" t="str">
        <x:v>task_output-wsl/lite-baseline-001/instances/django__django-16820/attempt-0001/state.json
task_output-wsl/lite-baseline-001/instances/django__django-16820/attempt-0001/agent/run/result.json
task_output-wsl/lite-baseline-001/instances/django__django-16820/attempt-0001/agent/run/events.jsonl
task_output-wsl/lite-baseline-001/instances/django__django-16820/attempt-0001/agent-console.log
task_output-wsl/lite-baseline-001/instances/django__django-16820/attempt-0001/patch.json</x:v>
      </x:c>
      <x:c r="Y30" s="2" t="str">
        <x:v>thinking
tool_use
tool_use</x:v>
      </x:c>
      <x:c r="Z30" s="11" t="n">
        <x:v>168</x:v>
      </x:c>
      <x:c r="AA30" s="11" t="n">
        <x:v>0</x:v>
      </x:c>
    </x:row>
    <x:row r="31" ht="79" customHeight="1">
      <x:c r="A31" s="2" t="str">
        <x:v>django__django-16910</x:v>
      </x:c>
      <x:c r="B31" s="2" t="str">
        <x:v>django/django</x:v>
      </x:c>
      <x:c r="C31" s="2" t="str">
        <x:v>empty_patch</x:v>
      </x:c>
      <x:c r="D31" s="2" t="str">
        <x:v>API流式连接中断</x:v>
      </x:c>
      <x:c r="E31" s="10" t="str">
        <x:v>模型API流式响应断开（incomplete chunked read），agent异常终止且最终补丁为空，未运行grading。日志只能证明这次运行受外部连接故障中断，无法据此判断其本可解题。</x:v>
      </x:c>
      <x:c r="F31" s="10" t="str">
        <x:v>对流式读失败做可恢复重试/断点续跑，再在相同参数下单独重测。</x:v>
      </x:c>
      <x:c r="G31" s="2" t="str">
        <x:v>通过</x:v>
      </x:c>
      <x:c r="H31" s="2" t="str">
        <x:v>error</x:v>
      </x:c>
      <x:c r="I31" s="11" t="n">
        <x:v>1</x:v>
      </x:c>
      <x:c r="J31" s="11" t="n">
        <x:v>1</x:v>
      </x:c>
      <x:c r="K31" s="11" t="str">
        <x:v>empty_patch</x:v>
      </x:c>
      <x:c r="L31" s="11"/>
      <x:c r="M31" s="11"/>
      <x:c r="N31" s="11"/>
      <x:c r="O31" s="11"/>
      <x:c r="P31" s="11" t="n">
        <x:v>28186</x:v>
      </x:c>
      <x:c r="Q31" s="11" t="n">
        <x:v>28186</x:v>
      </x:c>
      <x:c r="R31" s="11" t="n">
        <x:v>6</x:v>
      </x:c>
      <x:c r="S31" s="11" t="n">
        <x:v>6</x:v>
      </x:c>
      <x:c r="T31" s="11" t="n">
        <x:v>6</x:v>
      </x:c>
      <x:c r="U31" s="12" t="n">
        <x:v>9.73</x:v>
      </x:c>
      <x:c r="V31" s="9" t="str"/>
      <x:c r="W31" s="9" t="str"/>
      <x:c r="X31" s="9" t="str">
        <x:v>task_output-wsl/lite-baseline-001/instances/django__django-16910/attempt-0001/state.json
task_output-wsl/lite-baseline-001/instances/django__django-16910/attempt-0001/agent/run/result.json
task_output-wsl/lite-baseline-001/instances/django__django-16910/attempt-0001/agent/run/events.jsonl
task_output-wsl/lite-baseline-001/instances/django__django-16910/attempt-0001/agent-console.log
task_output-wsl/lite-baseline-001/instances/django__django-16910/attempt-0001/patch.json</x:v>
      </x:c>
      <x:c r="Y31" s="2" t="str">
        <x:v>thinking
tool_use</x:v>
      </x:c>
      <x:c r="Z31" s="11" t="n">
        <x:v>83</x:v>
      </x:c>
      <x:c r="AA31" s="11" t="n">
        <x:v>0</x:v>
      </x:c>
    </x:row>
    <x:row r="32" ht="79" customHeight="1">
      <x:c r="A32" s="2" t="str">
        <x:v>matplotlib__matplotlib-23563</x:v>
      </x:c>
      <x:c r="B32" s="2" t="str">
        <x:v>matplotlib/matplotlib</x:v>
      </x:c>
      <x:c r="C32" s="2" t="str">
        <x:v>empty_patch</x:v>
      </x:c>
      <x:c r="D32" s="2" t="str">
        <x:v>疑似thinking输出截断且无补丁</x:v>
      </x:c>
      <x:c r="E32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32" s="10" t="str">
        <x:v>保存并检查finish_reason/stop_reason；对仅thinking或length结束继续推理/执行，完成前检查实际补丁是否存在。</x:v>
      </x:c>
      <x:c r="G32" s="2" t="str">
        <x:v>通过</x:v>
      </x:c>
      <x:c r="H32" s="2" t="str">
        <x:v>completed</x:v>
      </x:c>
      <x:c r="I32" s="11" t="n">
        <x:v>1</x:v>
      </x:c>
      <x:c r="J32" s="11" t="n">
        <x:v>1</x:v>
      </x:c>
      <x:c r="K32" s="11" t="str">
        <x:v>empty_patch</x:v>
      </x:c>
      <x:c r="L32" s="11"/>
      <x:c r="M32" s="11"/>
      <x:c r="N32" s="11"/>
      <x:c r="O32" s="11"/>
      <x:c r="P32" s="11" t="n">
        <x:v>353238</x:v>
      </x:c>
      <x:c r="Q32" s="11" t="n">
        <x:v>353238</x:v>
      </x:c>
      <x:c r="R32" s="11" t="n">
        <x:v>30</x:v>
      </x:c>
      <x:c r="S32" s="11" t="n">
        <x:v>30</x:v>
      </x:c>
      <x:c r="T32" s="11" t="n">
        <x:v>28</x:v>
      </x:c>
      <x:c r="U32" s="12" t="n">
        <x:v>123.916</x:v>
      </x:c>
      <x:c r="V32" s="9" t="str"/>
      <x:c r="W32" s="9" t="str"/>
      <x:c r="X32" s="9" t="str">
        <x:v>task_output-wsl/lite-baseline-001/instances/matplotlib__matplotlib-23563/attempt-0001/state.json
task_output-wsl/lite-baseline-001/instances/matplotlib__matplotlib-23563/attempt-0001/agent/run/result.json
task_output-wsl/lite-baseline-001/instances/matplotlib__matplotlib-23563/attempt-0001/agent/run/events.jsonl
task_output-wsl/lite-baseline-001/instances/matplotlib__matplotlib-23563/attempt-0001/agent-console.log
task_output-wsl/lite-baseline-001/instances/matplotlib__matplotlib-23563/attempt-0001/patch.json</x:v>
      </x:c>
      <x:c r="Y32" s="2" t="str">
        <x:v>thinking</x:v>
      </x:c>
      <x:c r="Z32" s="11" t="n">
        <x:v>4096</x:v>
      </x:c>
      <x:c r="AA32" s="11" t="n">
        <x:v>1</x:v>
      </x:c>
    </x:row>
    <x:row r="33" ht="79" customHeight="1">
      <x:c r="A33" s="2" t="str">
        <x:v>matplotlib__matplotlib-25332</x:v>
      </x:c>
      <x:c r="B33" s="2" t="str">
        <x:v>matplotlib/matplotlib</x:v>
      </x:c>
      <x:c r="C33" s="2" t="str">
        <x:v>empty_patch</x:v>
      </x:c>
      <x:c r="D33" s="2" t="str">
        <x:v>API流式连接中断</x:v>
      </x:c>
      <x:c r="E33" s="10" t="str">
        <x:v>模型API流式响应断开（incomplete chunked read），agent异常终止且最终补丁为空，未运行grading。日志只能证明这次运行受外部连接故障中断，无法据此判断其本可解题。</x:v>
      </x:c>
      <x:c r="F33" s="10" t="str">
        <x:v>对流式读失败做可恢复重试/断点续跑，再在相同参数下单独重测。</x:v>
      </x:c>
      <x:c r="G33" s="2" t="str">
        <x:v>通过</x:v>
      </x:c>
      <x:c r="H33" s="2" t="str">
        <x:v>error</x:v>
      </x:c>
      <x:c r="I33" s="11" t="n">
        <x:v>1</x:v>
      </x:c>
      <x:c r="J33" s="11" t="n">
        <x:v>1</x:v>
      </x:c>
      <x:c r="K33" s="11" t="str">
        <x:v>empty_patch</x:v>
      </x:c>
      <x:c r="L33" s="11"/>
      <x:c r="M33" s="11"/>
      <x:c r="N33" s="11"/>
      <x:c r="O33" s="11"/>
      <x:c r="P33" s="11" t="n">
        <x:v>26363</x:v>
      </x:c>
      <x:c r="Q33" s="11" t="n">
        <x:v>26363</x:v>
      </x:c>
      <x:c r="R33" s="11" t="n">
        <x:v>6</x:v>
      </x:c>
      <x:c r="S33" s="11" t="n">
        <x:v>6</x:v>
      </x:c>
      <x:c r="T33" s="11" t="n">
        <x:v>6</x:v>
      </x:c>
      <x:c r="U33" s="12" t="n">
        <x:v>51.069</x:v>
      </x:c>
      <x:c r="V33" s="9" t="str"/>
      <x:c r="W33" s="9" t="str"/>
      <x:c r="X33" s="9" t="str">
        <x:v>task_output-wsl/lite-baseline-001/instances/matplotlib__matplotlib-25332/attempt-0001/state.json
task_output-wsl/lite-baseline-001/instances/matplotlib__matplotlib-25332/attempt-0001/agent/run/result.json
task_output-wsl/lite-baseline-001/instances/matplotlib__matplotlib-25332/attempt-0001/agent/run/events.jsonl
task_output-wsl/lite-baseline-001/instances/matplotlib__matplotlib-25332/attempt-0001/agent-console.log
task_output-wsl/lite-baseline-001/instances/matplotlib__matplotlib-25332/attempt-0001/patch.json</x:v>
      </x:c>
      <x:c r="Y33" s="2" t="str">
        <x:v>thinking
tool_use</x:v>
      </x:c>
      <x:c r="Z33" s="11" t="n">
        <x:v>262</x:v>
      </x:c>
      <x:c r="AA33" s="11" t="n">
        <x:v>0</x:v>
      </x:c>
    </x:row>
    <x:row r="34" ht="79" customHeight="1">
      <x:c r="A34" s="2" t="str">
        <x:v>mwaskom__seaborn-2848</x:v>
      </x:c>
      <x:c r="B34" s="2" t="str">
        <x:v>mwaskom/seaborn</x:v>
      </x:c>
      <x:c r="C34" s="2" t="str">
        <x:v>empty_patch</x:v>
      </x:c>
      <x:c r="D34" s="2" t="str">
        <x:v>达到轮数上限且无补丁</x:v>
      </x:c>
      <x:c r="E34" s="10" t="str">
        <x:v>达到60个lead model turns上限，最终未留下可收集的工作树补丁，grading未运行。日志显示主要在阅读、复现和方案探索；仅增加轮数能否成功尚无证据。</x:v>
      </x:c>
      <x:c r="F34" s="10" t="str">
        <x:v>在前段轮次完成最小补丁并测试，设置剩余轮次提示/检查点；减少重复阅读和低收益探索。</x:v>
      </x:c>
      <x:c r="G34" s="2" t="str">
        <x:v>通过</x:v>
      </x:c>
      <x:c r="H34" s="2" t="str">
        <x:v>limit</x:v>
      </x:c>
      <x:c r="I34" s="11" t="n">
        <x:v>1</x:v>
      </x:c>
      <x:c r="J34" s="11" t="n">
        <x:v>1</x:v>
      </x:c>
      <x:c r="K34" s="11" t="str">
        <x:v>empty_patch</x:v>
      </x:c>
      <x:c r="L34" s="11"/>
      <x:c r="M34" s="11"/>
      <x:c r="N34" s="11"/>
      <x:c r="O34" s="11"/>
      <x:c r="P34" s="11" t="n">
        <x:v>698096</x:v>
      </x:c>
      <x:c r="Q34" s="11" t="n">
        <x:v>698096</x:v>
      </x:c>
      <x:c r="R34" s="11" t="n">
        <x:v>63</x:v>
      </x:c>
      <x:c r="S34" s="11" t="n">
        <x:v>63</x:v>
      </x:c>
      <x:c r="T34" s="11" t="n">
        <x:v>60</x:v>
      </x:c>
      <x:c r="U34" s="12" t="n">
        <x:v>159.422</x:v>
      </x:c>
      <x:c r="V34" s="9" t="str"/>
      <x:c r="W34" s="9" t="str"/>
      <x:c r="X34" s="9" t="str">
        <x:v>task_output-wsl/lite-baseline-001/instances/mwaskom__seaborn-2848/attempt-0001/state.json
task_output-wsl/lite-baseline-001/instances/mwaskom__seaborn-2848/attempt-0001/agent/run/result.json
task_output-wsl/lite-baseline-001/instances/mwaskom__seaborn-2848/attempt-0001/agent/run/events.jsonl
task_output-wsl/lite-baseline-001/instances/mwaskom__seaborn-2848/attempt-0001/agent-console.log
task_output-wsl/lite-baseline-001/instances/mwaskom__seaborn-2848/attempt-0001/patch.json</x:v>
      </x:c>
      <x:c r="Y34" s="2" t="str">
        <x:v>thinking
tool_use</x:v>
      </x:c>
      <x:c r="Z34" s="11" t="n">
        <x:v>385</x:v>
      </x:c>
      <x:c r="AA34" s="11" t="n">
        <x:v>0</x:v>
      </x:c>
    </x:row>
    <x:row r="35" ht="79" customHeight="1">
      <x:c r="A35" s="2" t="str">
        <x:v>psf__requests-2148</x:v>
      </x:c>
      <x:c r="B35" s="2" t="str">
        <x:v>psf/requests</x:v>
      </x:c>
      <x:c r="C35" s="2" t="str">
        <x:v>empty_patch</x:v>
      </x:c>
      <x:c r="D35" s="2" t="str">
        <x:v>疑似thinking输出截断且无补丁</x:v>
      </x:c>
      <x:c r="E35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35" s="10" t="str">
        <x:v>保存并检查finish_reason/stop_reason；对仅thinking或length结束继续推理/执行，完成前检查实际补丁是否存在。</x:v>
      </x:c>
      <x:c r="G35" s="2" t="str">
        <x:v>通过</x:v>
      </x:c>
      <x:c r="H35" s="2" t="str">
        <x:v>completed</x:v>
      </x:c>
      <x:c r="I35" s="11" t="n">
        <x:v>1</x:v>
      </x:c>
      <x:c r="J35" s="11" t="n">
        <x:v>1</x:v>
      </x:c>
      <x:c r="K35" s="11" t="str">
        <x:v>empty_patch</x:v>
      </x:c>
      <x:c r="L35" s="11"/>
      <x:c r="M35" s="11"/>
      <x:c r="N35" s="11"/>
      <x:c r="O35" s="11"/>
      <x:c r="P35" s="11" t="n">
        <x:v>277904</x:v>
      </x:c>
      <x:c r="Q35" s="11" t="n">
        <x:v>277904</x:v>
      </x:c>
      <x:c r="R35" s="11" t="n">
        <x:v>26</x:v>
      </x:c>
      <x:c r="S35" s="11" t="n">
        <x:v>26</x:v>
      </x:c>
      <x:c r="T35" s="11" t="n">
        <x:v>25</x:v>
      </x:c>
      <x:c r="U35" s="12" t="n">
        <x:v>163.463</x:v>
      </x:c>
      <x:c r="V35" s="9" t="str"/>
      <x:c r="W35" s="9" t="str"/>
      <x:c r="X35" s="9" t="str">
        <x:v>task_output-wsl/lite-baseline-001/instances/psf__requests-2148/attempt-0001/state.json
task_output-wsl/lite-baseline-001/instances/psf__requests-2148/attempt-0001/agent/run/result.json
task_output-wsl/lite-baseline-001/instances/psf__requests-2148/attempt-0001/agent/run/events.jsonl
task_output-wsl/lite-baseline-001/instances/psf__requests-2148/attempt-0001/agent-console.log
task_output-wsl/lite-baseline-001/instances/psf__requests-2148/attempt-0001/patch.json</x:v>
      </x:c>
      <x:c r="Y35" s="2" t="str">
        <x:v>thinking</x:v>
      </x:c>
      <x:c r="Z35" s="11" t="n">
        <x:v>4096</x:v>
      </x:c>
      <x:c r="AA35" s="11" t="n">
        <x:v>1</x:v>
      </x:c>
    </x:row>
    <x:row r="36" ht="79" customHeight="1">
      <x:c r="A36" s="2" t="str">
        <x:v>pylint-dev__pylint-7080</x:v>
      </x:c>
      <x:c r="B36" s="2" t="str">
        <x:v>pylint-dev/pylint</x:v>
      </x:c>
      <x:c r="C36" s="2" t="str">
        <x:v>empty_patch</x:v>
      </x:c>
      <x:c r="D36" s="2" t="str">
        <x:v>达到轮数上限且无补丁</x:v>
      </x:c>
      <x:c r="E36" s="10" t="str">
        <x:v>达到60个lead model turns上限，最终未留下可收集的工作树补丁，grading未运行。日志显示主要在阅读、复现和方案探索；仅增加轮数能否成功尚无证据。</x:v>
      </x:c>
      <x:c r="F36" s="10" t="str">
        <x:v>在前段轮次完成最小补丁并测试，设置剩余轮次提示/检查点；减少重复阅读和低收益探索。</x:v>
      </x:c>
      <x:c r="G36" s="2" t="str">
        <x:v>通过</x:v>
      </x:c>
      <x:c r="H36" s="2" t="str">
        <x:v>limit</x:v>
      </x:c>
      <x:c r="I36" s="11" t="n">
        <x:v>1</x:v>
      </x:c>
      <x:c r="J36" s="11" t="n">
        <x:v>1</x:v>
      </x:c>
      <x:c r="K36" s="11" t="str">
        <x:v>empty_patch</x:v>
      </x:c>
      <x:c r="L36" s="11"/>
      <x:c r="M36" s="11"/>
      <x:c r="N36" s="11"/>
      <x:c r="O36" s="11"/>
      <x:c r="P36" s="11" t="n">
        <x:v>925750</x:v>
      </x:c>
      <x:c r="Q36" s="11" t="n">
        <x:v>925750</x:v>
      </x:c>
      <x:c r="R36" s="11" t="n">
        <x:v>67</x:v>
      </x:c>
      <x:c r="S36" s="11" t="n">
        <x:v>67</x:v>
      </x:c>
      <x:c r="T36" s="11" t="n">
        <x:v>60</x:v>
      </x:c>
      <x:c r="U36" s="12" t="n">
        <x:v>142.365</x:v>
      </x:c>
      <x:c r="V36" s="9" t="str"/>
      <x:c r="W36" s="9" t="str"/>
      <x:c r="X36" s="9" t="str">
        <x:v>task_output-wsl/lite-baseline-001/instances/pylint-dev__pylint-7080/attempt-0001/state.json
task_output-wsl/lite-baseline-001/instances/pylint-dev__pylint-7080/attempt-0001/agent/run/result.json
task_output-wsl/lite-baseline-001/instances/pylint-dev__pylint-7080/attempt-0001/agent/run/events.jsonl
task_output-wsl/lite-baseline-001/instances/pylint-dev__pylint-7080/attempt-0001/agent-console.log
task_output-wsl/lite-baseline-001/instances/pylint-dev__pylint-7080/attempt-0001/patch.json</x:v>
      </x:c>
      <x:c r="Y36" s="2" t="str">
        <x:v>thinking
tool_use
tool_use
tool_use</x:v>
      </x:c>
      <x:c r="Z36" s="11" t="n">
        <x:v>1024</x:v>
      </x:c>
      <x:c r="AA36" s="11" t="n">
        <x:v>0</x:v>
      </x:c>
    </x:row>
    <x:row r="37" ht="79" customHeight="1">
      <x:c r="A37" s="2" t="str">
        <x:v>pytest-dev__pytest-11148</x:v>
      </x:c>
      <x:c r="B37" s="2" t="str">
        <x:v>pytest-dev/pytest</x:v>
      </x:c>
      <x:c r="C37" s="2" t="str">
        <x:v>empty_patch</x:v>
      </x:c>
      <x:c r="D37" s="2" t="str">
        <x:v>疑似thinking输出截断且无补丁</x:v>
      </x:c>
      <x:c r="E37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37" s="10" t="str">
        <x:v>保存并检查finish_reason/stop_reason；对仅thinking或length结束继续推理/执行，完成前检查实际补丁是否存在。</x:v>
      </x:c>
      <x:c r="G37" s="2" t="str">
        <x:v>通过</x:v>
      </x:c>
      <x:c r="H37" s="2" t="str">
        <x:v>completed</x:v>
      </x:c>
      <x:c r="I37" s="11" t="n">
        <x:v>1</x:v>
      </x:c>
      <x:c r="J37" s="11" t="n">
        <x:v>1</x:v>
      </x:c>
      <x:c r="K37" s="11" t="str">
        <x:v>empty_patch</x:v>
      </x:c>
      <x:c r="L37" s="11"/>
      <x:c r="M37" s="11"/>
      <x:c r="N37" s="11"/>
      <x:c r="O37" s="11"/>
      <x:c r="P37" s="11" t="n">
        <x:v>421994</x:v>
      </x:c>
      <x:c r="Q37" s="11" t="n">
        <x:v>421994</x:v>
      </x:c>
      <x:c r="R37" s="11" t="n">
        <x:v>36</x:v>
      </x:c>
      <x:c r="S37" s="11" t="n">
        <x:v>36</x:v>
      </x:c>
      <x:c r="T37" s="11" t="n">
        <x:v>34</x:v>
      </x:c>
      <x:c r="U37" s="12" t="n">
        <x:v>166.877</x:v>
      </x:c>
      <x:c r="V37" s="9" t="str"/>
      <x:c r="W37" s="9" t="str"/>
      <x:c r="X37" s="9" t="str">
        <x:v>task_output-wsl/lite-baseline-001/instances/pytest-dev__pytest-11148/attempt-0001/state.json
task_output-wsl/lite-baseline-001/instances/pytest-dev__pytest-11148/attempt-0001/agent/run/result.json
task_output-wsl/lite-baseline-001/instances/pytest-dev__pytest-11148/attempt-0001/agent/run/events.jsonl
task_output-wsl/lite-baseline-001/instances/pytest-dev__pytest-11148/attempt-0001/agent-console.log
task_output-wsl/lite-baseline-001/instances/pytest-dev__pytest-11148/attempt-0001/patch.json</x:v>
      </x:c>
      <x:c r="Y37" s="2" t="str">
        <x:v>thinking</x:v>
      </x:c>
      <x:c r="Z37" s="11" t="n">
        <x:v>4096</x:v>
      </x:c>
      <x:c r="AA37" s="11" t="n">
        <x:v>1</x:v>
      </x:c>
    </x:row>
    <x:row r="38" ht="79" customHeight="1">
      <x:c r="A38" s="2" t="str">
        <x:v>pytest-dev__pytest-5103</x:v>
      </x:c>
      <x:c r="B38" s="2" t="str">
        <x:v>pytest-dev/pytest</x:v>
      </x:c>
      <x:c r="C38" s="2" t="str">
        <x:v>empty_patch</x:v>
      </x:c>
      <x:c r="D38" s="2" t="str">
        <x:v>达到轮数上限且无补丁</x:v>
      </x:c>
      <x:c r="E38" s="10" t="str">
        <x:v>达到60个lead model turns上限，最终未留下可收集的工作树补丁，grading未运行。日志显示主要在阅读、复现和方案探索；仅增加轮数能否成功尚无证据。</x:v>
      </x:c>
      <x:c r="F38" s="10" t="str">
        <x:v>在前段轮次完成最小补丁并测试，设置剩余轮次提示/检查点；减少重复阅读和低收益探索。</x:v>
      </x:c>
      <x:c r="G38" s="2" t="str">
        <x:v>通过</x:v>
      </x:c>
      <x:c r="H38" s="2" t="str">
        <x:v>limit</x:v>
      </x:c>
      <x:c r="I38" s="11" t="n">
        <x:v>1</x:v>
      </x:c>
      <x:c r="J38" s="11" t="n">
        <x:v>1</x:v>
      </x:c>
      <x:c r="K38" s="11" t="str">
        <x:v>empty_patch</x:v>
      </x:c>
      <x:c r="L38" s="11"/>
      <x:c r="M38" s="11"/>
      <x:c r="N38" s="11"/>
      <x:c r="O38" s="11"/>
      <x:c r="P38" s="11" t="n">
        <x:v>720748</x:v>
      </x:c>
      <x:c r="Q38" s="11" t="n">
        <x:v>720748</x:v>
      </x:c>
      <x:c r="R38" s="11" t="n">
        <x:v>62</x:v>
      </x:c>
      <x:c r="S38" s="11" t="n">
        <x:v>62</x:v>
      </x:c>
      <x:c r="T38" s="11" t="n">
        <x:v>60</x:v>
      </x:c>
      <x:c r="U38" s="12" t="n">
        <x:v>145.492</x:v>
      </x:c>
      <x:c r="V38" s="9" t="str"/>
      <x:c r="W38" s="9" t="str"/>
      <x:c r="X38" s="9" t="str">
        <x:v>task_output-wsl/lite-baseline-001/instances/pytest-dev__pytest-5103/attempt-0001/state.json
task_output-wsl/lite-baseline-001/instances/pytest-dev__pytest-5103/attempt-0001/agent/run/result.json
task_output-wsl/lite-baseline-001/instances/pytest-dev__pytest-5103/attempt-0001/agent/run/events.jsonl
task_output-wsl/lite-baseline-001/instances/pytest-dev__pytest-5103/attempt-0001/agent-console.log
task_output-wsl/lite-baseline-001/instances/pytest-dev__pytest-5103/attempt-0001/patch.json</x:v>
      </x:c>
      <x:c r="Y38" s="2" t="str">
        <x:v>thinking
tool_use
tool_use</x:v>
      </x:c>
      <x:c r="Z38" s="11" t="n">
        <x:v>127</x:v>
      </x:c>
      <x:c r="AA38" s="11" t="n">
        <x:v>0</x:v>
      </x:c>
    </x:row>
    <x:row r="39" ht="79" customHeight="1">
      <x:c r="A39" s="2" t="str">
        <x:v>pytest-dev__pytest-7220</x:v>
      </x:c>
      <x:c r="B39" s="2" t="str">
        <x:v>pytest-dev/pytest</x:v>
      </x:c>
      <x:c r="C39" s="2" t="str">
        <x:v>empty_patch</x:v>
      </x:c>
      <x:c r="D39" s="2" t="str">
        <x:v>达到轮数上限且无补丁</x:v>
      </x:c>
      <x:c r="E39" s="10" t="str">
        <x:v>达到60个lead model turns上限，最终未留下可收集的工作树补丁，grading未运行。日志显示主要在阅读、复现和方案探索；仅增加轮数能否成功尚无证据。</x:v>
      </x:c>
      <x:c r="F39" s="10" t="str">
        <x:v>在前段轮次完成最小补丁并测试，设置剩余轮次提示/检查点；减少重复阅读和低收益探索。</x:v>
      </x:c>
      <x:c r="G39" s="2" t="str">
        <x:v>通过</x:v>
      </x:c>
      <x:c r="H39" s="2" t="str">
        <x:v>limit</x:v>
      </x:c>
      <x:c r="I39" s="11" t="n">
        <x:v>1</x:v>
      </x:c>
      <x:c r="J39" s="11" t="n">
        <x:v>1</x:v>
      </x:c>
      <x:c r="K39" s="11" t="str">
        <x:v>empty_patch</x:v>
      </x:c>
      <x:c r="L39" s="11"/>
      <x:c r="M39" s="11"/>
      <x:c r="N39" s="11"/>
      <x:c r="O39" s="11"/>
      <x:c r="P39" s="11" t="n">
        <x:v>728159</x:v>
      </x:c>
      <x:c r="Q39" s="11" t="n">
        <x:v>728159</x:v>
      </x:c>
      <x:c r="R39" s="11" t="n">
        <x:v>62</x:v>
      </x:c>
      <x:c r="S39" s="11" t="n">
        <x:v>62</x:v>
      </x:c>
      <x:c r="T39" s="11" t="n">
        <x:v>60</x:v>
      </x:c>
      <x:c r="U39" s="12" t="n">
        <x:v>118.567</x:v>
      </x:c>
      <x:c r="V39" s="9" t="str"/>
      <x:c r="W39" s="9" t="str"/>
      <x:c r="X39" s="9" t="str">
        <x:v>task_output-wsl/lite-baseline-001/instances/pytest-dev__pytest-7220/attempt-0001/state.json
task_output-wsl/lite-baseline-001/instances/pytest-dev__pytest-7220/attempt-0001/agent/run/result.json
task_output-wsl/lite-baseline-001/instances/pytest-dev__pytest-7220/attempt-0001/agent/run/events.jsonl
task_output-wsl/lite-baseline-001/instances/pytest-dev__pytest-7220/attempt-0001/agent-console.log
task_output-wsl/lite-baseline-001/instances/pytest-dev__pytest-7220/attempt-0001/patch.json</x:v>
      </x:c>
      <x:c r="Y39" s="2" t="str">
        <x:v>thinking
tool_use</x:v>
      </x:c>
      <x:c r="Z39" s="11" t="n">
        <x:v>115</x:v>
      </x:c>
      <x:c r="AA39" s="11" t="n">
        <x:v>0</x:v>
      </x:c>
    </x:row>
    <x:row r="40" ht="79" customHeight="1">
      <x:c r="A40" s="2" t="str">
        <x:v>sphinx-doc__sphinx-7686</x:v>
      </x:c>
      <x:c r="B40" s="2" t="str">
        <x:v>sphinx-doc/sphinx</x:v>
      </x:c>
      <x:c r="C40" s="2" t="str">
        <x:v>empty_patch</x:v>
      </x:c>
      <x:c r="D40" s="2" t="str">
        <x:v>疑似thinking输出截断且无补丁</x:v>
      </x:c>
      <x:c r="E40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40" s="10" t="str">
        <x:v>保存并检查finish_reason/stop_reason；对仅thinking或length结束继续推理/执行，完成前检查实际补丁是否存在。</x:v>
      </x:c>
      <x:c r="G40" s="2" t="str">
        <x:v>通过</x:v>
      </x:c>
      <x:c r="H40" s="2" t="str">
        <x:v>completed</x:v>
      </x:c>
      <x:c r="I40" s="11" t="n">
        <x:v>1</x:v>
      </x:c>
      <x:c r="J40" s="11" t="n">
        <x:v>1</x:v>
      </x:c>
      <x:c r="K40" s="11" t="str">
        <x:v>empty_patch</x:v>
      </x:c>
      <x:c r="L40" s="11"/>
      <x:c r="M40" s="11"/>
      <x:c r="N40" s="11"/>
      <x:c r="O40" s="11"/>
      <x:c r="P40" s="11" t="n">
        <x:v>286624</x:v>
      </x:c>
      <x:c r="Q40" s="11" t="n">
        <x:v>286624</x:v>
      </x:c>
      <x:c r="R40" s="11" t="n">
        <x:v>28</x:v>
      </x:c>
      <x:c r="S40" s="11" t="n">
        <x:v>28</x:v>
      </x:c>
      <x:c r="T40" s="11" t="n">
        <x:v>27</x:v>
      </x:c>
      <x:c r="U40" s="12" t="n">
        <x:v>85.746</x:v>
      </x:c>
      <x:c r="V40" s="9" t="str"/>
      <x:c r="W40" s="9" t="str"/>
      <x:c r="X40" s="9" t="str">
        <x:v>task_output-wsl/lite-baseline-001/instances/sphinx-doc__sphinx-7686/attempt-0001/state.json
task_output-wsl/lite-baseline-001/instances/sphinx-doc__sphinx-7686/attempt-0001/agent/run/result.json
task_output-wsl/lite-baseline-001/instances/sphinx-doc__sphinx-7686/attempt-0001/agent/run/events.jsonl
task_output-wsl/lite-baseline-001/instances/sphinx-doc__sphinx-7686/attempt-0001/agent-console.log
task_output-wsl/lite-baseline-001/instances/sphinx-doc__sphinx-7686/attempt-0001/patch.json</x:v>
      </x:c>
      <x:c r="Y40" s="2" t="str">
        <x:v>thinking</x:v>
      </x:c>
      <x:c r="Z40" s="11" t="n">
        <x:v>4096</x:v>
      </x:c>
      <x:c r="AA40" s="11" t="n">
        <x:v>1</x:v>
      </x:c>
    </x:row>
    <x:row r="41" ht="79" customHeight="1">
      <x:c r="A41" s="2" t="str">
        <x:v>sphinx-doc__sphinx-8474</x:v>
      </x:c>
      <x:c r="B41" s="2" t="str">
        <x:v>sphinx-doc/sphinx</x:v>
      </x:c>
      <x:c r="C41" s="2" t="str">
        <x:v>empty_patch</x:v>
      </x:c>
      <x:c r="D41" s="2" t="str">
        <x:v>达到轮数上限且无补丁</x:v>
      </x:c>
      <x:c r="E41" s="10" t="str">
        <x:v>达到60个lead model turns上限，最终未留下可收集的工作树补丁，grading未运行。日志显示主要在阅读、复现和方案探索；仅增加轮数能否成功尚无证据。</x:v>
      </x:c>
      <x:c r="F41" s="10" t="str">
        <x:v>在前段轮次完成最小补丁并测试，设置剩余轮次提示/检查点；减少重复阅读和低收益探索。</x:v>
      </x:c>
      <x:c r="G41" s="2" t="str">
        <x:v>通过</x:v>
      </x:c>
      <x:c r="H41" s="2" t="str">
        <x:v>limit</x:v>
      </x:c>
      <x:c r="I41" s="11" t="n">
        <x:v>1</x:v>
      </x:c>
      <x:c r="J41" s="11" t="n">
        <x:v>1</x:v>
      </x:c>
      <x:c r="K41" s="11" t="str">
        <x:v>empty_patch</x:v>
      </x:c>
      <x:c r="L41" s="11"/>
      <x:c r="M41" s="11"/>
      <x:c r="N41" s="11"/>
      <x:c r="O41" s="11"/>
      <x:c r="P41" s="11" t="n">
        <x:v>751769</x:v>
      </x:c>
      <x:c r="Q41" s="11" t="n">
        <x:v>751769</x:v>
      </x:c>
      <x:c r="R41" s="11" t="n">
        <x:v>61</x:v>
      </x:c>
      <x:c r="S41" s="11" t="n">
        <x:v>61</x:v>
      </x:c>
      <x:c r="T41" s="11" t="n">
        <x:v>60</x:v>
      </x:c>
      <x:c r="U41" s="12" t="n">
        <x:v>119.078</x:v>
      </x:c>
      <x:c r="V41" s="9" t="str"/>
      <x:c r="W41" s="9" t="str"/>
      <x:c r="X41" s="9" t="str">
        <x:v>task_output-wsl/lite-baseline-001/instances/sphinx-doc__sphinx-8474/attempt-0001/state.json
task_output-wsl/lite-baseline-001/instances/sphinx-doc__sphinx-8474/attempt-0001/agent/run/result.json
task_output-wsl/lite-baseline-001/instances/sphinx-doc__sphinx-8474/attempt-0001/agent/run/events.jsonl
task_output-wsl/lite-baseline-001/instances/sphinx-doc__sphinx-8474/attempt-0001/agent-console.log
task_output-wsl/lite-baseline-001/instances/sphinx-doc__sphinx-8474/attempt-0001/patch.json</x:v>
      </x:c>
      <x:c r="Y41" s="2" t="str">
        <x:v>thinking
tool_use</x:v>
      </x:c>
      <x:c r="Z41" s="11" t="n">
        <x:v>743</x:v>
      </x:c>
      <x:c r="AA41" s="11" t="n">
        <x:v>0</x:v>
      </x:c>
    </x:row>
    <x:row r="42" ht="79" customHeight="1">
      <x:c r="A42" s="2" t="str">
        <x:v>sympy__sympy-11870</x:v>
      </x:c>
      <x:c r="B42" s="2" t="str">
        <x:v>sympy/sympy</x:v>
      </x:c>
      <x:c r="C42" s="2" t="str">
        <x:v>empty_patch</x:v>
      </x:c>
      <x:c r="D42" s="2" t="str">
        <x:v>达到轮数上限且无补丁</x:v>
      </x:c>
      <x:c r="E42" s="10" t="str">
        <x:v>达到60个lead model turns上限，最终未留下可收集的工作树补丁，grading未运行。日志显示主要在阅读、复现和方案探索；仅增加轮数能否成功尚无证据。</x:v>
      </x:c>
      <x:c r="F42" s="10" t="str">
        <x:v>在前段轮次完成最小补丁并测试，设置剩余轮次提示/检查点；减少重复阅读和低收益探索。</x:v>
      </x:c>
      <x:c r="G42" s="2" t="str">
        <x:v>通过</x:v>
      </x:c>
      <x:c r="H42" s="2" t="str">
        <x:v>limit</x:v>
      </x:c>
      <x:c r="I42" s="11" t="n">
        <x:v>1</x:v>
      </x:c>
      <x:c r="J42" s="11" t="n">
        <x:v>1</x:v>
      </x:c>
      <x:c r="K42" s="11" t="str">
        <x:v>empty_patch</x:v>
      </x:c>
      <x:c r="L42" s="11"/>
      <x:c r="M42" s="11"/>
      <x:c r="N42" s="11"/>
      <x:c r="O42" s="11"/>
      <x:c r="P42" s="11" t="n">
        <x:v>720803</x:v>
      </x:c>
      <x:c r="Q42" s="11" t="n">
        <x:v>720803</x:v>
      </x:c>
      <x:c r="R42" s="11" t="n">
        <x:v>62</x:v>
      </x:c>
      <x:c r="S42" s="11" t="n">
        <x:v>62</x:v>
      </x:c>
      <x:c r="T42" s="11" t="n">
        <x:v>60</x:v>
      </x:c>
      <x:c r="U42" s="12" t="n">
        <x:v>147.623</x:v>
      </x:c>
      <x:c r="V42" s="9" t="str"/>
      <x:c r="W42" s="9" t="str"/>
      <x:c r="X42" s="9" t="str">
        <x:v>task_output-wsl/lite-baseline-001/instances/sympy__sympy-11870/attempt-0001/state.json
task_output-wsl/lite-baseline-001/instances/sympy__sympy-11870/attempt-0001/agent/run/result.json
task_output-wsl/lite-baseline-001/instances/sympy__sympy-11870/attempt-0001/agent/run/events.jsonl
task_output-wsl/lite-baseline-001/instances/sympy__sympy-11870/attempt-0001/agent-console.log
task_output-wsl/lite-baseline-001/instances/sympy__sympy-11870/attempt-0001/patch.json</x:v>
      </x:c>
      <x:c r="Y42" s="2" t="str">
        <x:v>thinking
tool_use</x:v>
      </x:c>
      <x:c r="Z42" s="11" t="n">
        <x:v>180</x:v>
      </x:c>
      <x:c r="AA42" s="11" t="n">
        <x:v>0</x:v>
      </x:c>
    </x:row>
    <x:row r="43" ht="79" customHeight="1">
      <x:c r="A43" s="2" t="str">
        <x:v>sympy__sympy-11897</x:v>
      </x:c>
      <x:c r="B43" s="2" t="str">
        <x:v>sympy/sympy</x:v>
      </x:c>
      <x:c r="C43" s="2" t="str">
        <x:v>empty_patch</x:v>
      </x:c>
      <x:c r="D43" s="2" t="str">
        <x:v>达到轮数上限且无补丁</x:v>
      </x:c>
      <x:c r="E43" s="10" t="str">
        <x:v>达到60个lead model turns上限，最终未留下可收集的工作树补丁，grading未运行。日志显示主要在阅读、复现和方案探索；仅增加轮数能否成功尚无证据。</x:v>
      </x:c>
      <x:c r="F43" s="10" t="str">
        <x:v>在前段轮次完成最小补丁并测试，设置剩余轮次提示/检查点；减少重复阅读和低收益探索。</x:v>
      </x:c>
      <x:c r="G43" s="2" t="str">
        <x:v>通过</x:v>
      </x:c>
      <x:c r="H43" s="2" t="str">
        <x:v>limit</x:v>
      </x:c>
      <x:c r="I43" s="11" t="n">
        <x:v>1</x:v>
      </x:c>
      <x:c r="J43" s="11" t="n">
        <x:v>1</x:v>
      </x:c>
      <x:c r="K43" s="11" t="str">
        <x:v>empty_patch</x:v>
      </x:c>
      <x:c r="L43" s="11"/>
      <x:c r="M43" s="11"/>
      <x:c r="N43" s="11"/>
      <x:c r="O43" s="11"/>
      <x:c r="P43" s="11" t="n">
        <x:v>716643</x:v>
      </x:c>
      <x:c r="Q43" s="11" t="n">
        <x:v>716643</x:v>
      </x:c>
      <x:c r="R43" s="11" t="n">
        <x:v>63</x:v>
      </x:c>
      <x:c r="S43" s="11" t="n">
        <x:v>63</x:v>
      </x:c>
      <x:c r="T43" s="11" t="n">
        <x:v>60</x:v>
      </x:c>
      <x:c r="U43" s="12" t="n">
        <x:v>186.506</x:v>
      </x:c>
      <x:c r="V43" s="9" t="str"/>
      <x:c r="W43" s="9" t="str"/>
      <x:c r="X43" s="9" t="str">
        <x:v>task_output-wsl/lite-baseline-001/instances/sympy__sympy-11897/attempt-0001/state.json
task_output-wsl/lite-baseline-001/instances/sympy__sympy-11897/attempt-0001/agent/run/result.json
task_output-wsl/lite-baseline-001/instances/sympy__sympy-11897/attempt-0001/agent/run/events.jsonl
task_output-wsl/lite-baseline-001/instances/sympy__sympy-11897/attempt-0001/agent-console.log
task_output-wsl/lite-baseline-001/instances/sympy__sympy-11897/attempt-0001/patch.json</x:v>
      </x:c>
      <x:c r="Y43" s="2" t="str">
        <x:v>thinking
tool_use</x:v>
      </x:c>
      <x:c r="Z43" s="11" t="n">
        <x:v>765</x:v>
      </x:c>
      <x:c r="AA43" s="11" t="n">
        <x:v>0</x:v>
      </x:c>
    </x:row>
    <x:row r="44" ht="79" customHeight="1">
      <x:c r="A44" s="2" t="str">
        <x:v>sympy__sympy-12236</x:v>
      </x:c>
      <x:c r="B44" s="2" t="str">
        <x:v>sympy/sympy</x:v>
      </x:c>
      <x:c r="C44" s="2" t="str">
        <x:v>empty_patch</x:v>
      </x:c>
      <x:c r="D44" s="2" t="str">
        <x:v>达到轮数上限且无补丁</x:v>
      </x:c>
      <x:c r="E44" s="10" t="str">
        <x:v>达到60个lead model turns上限，最终未留下可收集的工作树补丁，grading未运行。日志显示主要在阅读、复现和方案探索；仅增加轮数能否成功尚无证据。</x:v>
      </x:c>
      <x:c r="F44" s="10" t="str">
        <x:v>在前段轮次完成最小补丁并测试，设置剩余轮次提示/检查点；减少重复阅读和低收益探索。</x:v>
      </x:c>
      <x:c r="G44" s="2" t="str">
        <x:v>通过</x:v>
      </x:c>
      <x:c r="H44" s="2" t="str">
        <x:v>limit</x:v>
      </x:c>
      <x:c r="I44" s="11" t="n">
        <x:v>1</x:v>
      </x:c>
      <x:c r="J44" s="11" t="n">
        <x:v>1</x:v>
      </x:c>
      <x:c r="K44" s="11" t="str">
        <x:v>empty_patch</x:v>
      </x:c>
      <x:c r="L44" s="11"/>
      <x:c r="M44" s="11"/>
      <x:c r="N44" s="11"/>
      <x:c r="O44" s="11"/>
      <x:c r="P44" s="11" t="n">
        <x:v>768844</x:v>
      </x:c>
      <x:c r="Q44" s="11" t="n">
        <x:v>768844</x:v>
      </x:c>
      <x:c r="R44" s="11" t="n">
        <x:v>62</x:v>
      </x:c>
      <x:c r="S44" s="11" t="n">
        <x:v>62</x:v>
      </x:c>
      <x:c r="T44" s="11" t="n">
        <x:v>60</x:v>
      </x:c>
      <x:c r="U44" s="12" t="n">
        <x:v>158.076</x:v>
      </x:c>
      <x:c r="V44" s="9" t="str"/>
      <x:c r="W44" s="9" t="str"/>
      <x:c r="X44" s="9" t="str">
        <x:v>task_output-wsl/lite-baseline-001/instances/sympy__sympy-12236/attempt-0001/state.json
task_output-wsl/lite-baseline-001/instances/sympy__sympy-12236/attempt-0001/agent/run/result.json
task_output-wsl/lite-baseline-001/instances/sympy__sympy-12236/attempt-0001/agent/run/events.jsonl
task_output-wsl/lite-baseline-001/instances/sympy__sympy-12236/attempt-0001/agent-console.log
task_output-wsl/lite-baseline-001/instances/sympy__sympy-12236/attempt-0001/patch.json</x:v>
      </x:c>
      <x:c r="Y44" s="2" t="str">
        <x:v>thinking
tool_use</x:v>
      </x:c>
      <x:c r="Z44" s="11" t="n">
        <x:v>104</x:v>
      </x:c>
      <x:c r="AA44" s="11" t="n">
        <x:v>0</x:v>
      </x:c>
    </x:row>
    <x:row r="45" ht="79" customHeight="1">
      <x:c r="A45" s="2" t="str">
        <x:v>sympy__sympy-13895</x:v>
      </x:c>
      <x:c r="B45" s="2" t="str">
        <x:v>sympy/sympy</x:v>
      </x:c>
      <x:c r="C45" s="2" t="str">
        <x:v>empty_patch</x:v>
      </x:c>
      <x:c r="D45" s="2" t="str">
        <x:v>达到轮数上限且无补丁</x:v>
      </x:c>
      <x:c r="E45" s="10" t="str">
        <x:v>达到60个lead model turns上限，最终未留下可收集的工作树补丁，grading未运行。日志显示主要在阅读、复现和方案探索；仅增加轮数能否成功尚无证据。</x:v>
      </x:c>
      <x:c r="F45" s="10" t="str">
        <x:v>在前段轮次完成最小补丁并测试，设置剩余轮次提示/检查点；减少重复阅读和低收益探索。</x:v>
      </x:c>
      <x:c r="G45" s="2" t="str">
        <x:v>通过</x:v>
      </x:c>
      <x:c r="H45" s="2" t="str">
        <x:v>limit</x:v>
      </x:c>
      <x:c r="I45" s="11" t="n">
        <x:v>1</x:v>
      </x:c>
      <x:c r="J45" s="11" t="n">
        <x:v>1</x:v>
      </x:c>
      <x:c r="K45" s="11" t="str">
        <x:v>empty_patch</x:v>
      </x:c>
      <x:c r="L45" s="11"/>
      <x:c r="M45" s="11"/>
      <x:c r="N45" s="11"/>
      <x:c r="O45" s="11"/>
      <x:c r="P45" s="11" t="n">
        <x:v>775311</x:v>
      </x:c>
      <x:c r="Q45" s="11" t="n">
        <x:v>775311</x:v>
      </x:c>
      <x:c r="R45" s="11" t="n">
        <x:v>62</x:v>
      </x:c>
      <x:c r="S45" s="11" t="n">
        <x:v>62</x:v>
      </x:c>
      <x:c r="T45" s="11" t="n">
        <x:v>60</x:v>
      </x:c>
      <x:c r="U45" s="12" t="n">
        <x:v>176.416</x:v>
      </x:c>
      <x:c r="V45" s="9" t="str"/>
      <x:c r="W45" s="9" t="str"/>
      <x:c r="X45" s="9" t="str">
        <x:v>task_output-wsl/lite-baseline-001/instances/sympy__sympy-13895/attempt-0001/state.json
task_output-wsl/lite-baseline-001/instances/sympy__sympy-13895/attempt-0001/agent/run/result.json
task_output-wsl/lite-baseline-001/instances/sympy__sympy-13895/attempt-0001/agent/run/events.jsonl
task_output-wsl/lite-baseline-001/instances/sympy__sympy-13895/attempt-0001/agent-console.log
task_output-wsl/lite-baseline-001/instances/sympy__sympy-13895/attempt-0001/patch.json</x:v>
      </x:c>
      <x:c r="Y45" s="2" t="str">
        <x:v>thinking
tool_use
tool_use</x:v>
      </x:c>
      <x:c r="Z45" s="11" t="n">
        <x:v>767</x:v>
      </x:c>
      <x:c r="AA45" s="11" t="n">
        <x:v>0</x:v>
      </x:c>
    </x:row>
    <x:row r="46" ht="79" customHeight="1">
      <x:c r="A46" s="2" t="str">
        <x:v>sympy__sympy-14308</x:v>
      </x:c>
      <x:c r="B46" s="2" t="str">
        <x:v>sympy/sympy</x:v>
      </x:c>
      <x:c r="C46" s="2" t="str">
        <x:v>empty_patch</x:v>
      </x:c>
      <x:c r="D46" s="2" t="str">
        <x:v>达到轮数上限且无补丁</x:v>
      </x:c>
      <x:c r="E46" s="10" t="str">
        <x:v>达到60个lead model turns上限，最终未留下可收集的工作树补丁，grading未运行。日志显示主要在阅读、复现和方案探索；仅增加轮数能否成功尚无证据。</x:v>
      </x:c>
      <x:c r="F46" s="10" t="str">
        <x:v>在前段轮次完成最小补丁并测试，设置剩余轮次提示/检查点；减少重复阅读和低收益探索。</x:v>
      </x:c>
      <x:c r="G46" s="2" t="str">
        <x:v>通过</x:v>
      </x:c>
      <x:c r="H46" s="2" t="str">
        <x:v>limit</x:v>
      </x:c>
      <x:c r="I46" s="11" t="n">
        <x:v>1</x:v>
      </x:c>
      <x:c r="J46" s="11" t="n">
        <x:v>1</x:v>
      </x:c>
      <x:c r="K46" s="11" t="str">
        <x:v>empty_patch</x:v>
      </x:c>
      <x:c r="L46" s="11"/>
      <x:c r="M46" s="11"/>
      <x:c r="N46" s="11"/>
      <x:c r="O46" s="11"/>
      <x:c r="P46" s="11" t="n">
        <x:v>760172</x:v>
      </x:c>
      <x:c r="Q46" s="11" t="n">
        <x:v>760172</x:v>
      </x:c>
      <x:c r="R46" s="11" t="n">
        <x:v>63</x:v>
      </x:c>
      <x:c r="S46" s="11" t="n">
        <x:v>63</x:v>
      </x:c>
      <x:c r="T46" s="11" t="n">
        <x:v>60</x:v>
      </x:c>
      <x:c r="U46" s="12" t="n">
        <x:v>200.349</x:v>
      </x:c>
      <x:c r="V46" s="9" t="str"/>
      <x:c r="W46" s="9" t="str"/>
      <x:c r="X46" s="9" t="str">
        <x:v>task_output-wsl/lite-baseline-001/instances/sympy__sympy-14308/attempt-0001/state.json
task_output-wsl/lite-baseline-001/instances/sympy__sympy-14308/attempt-0001/agent/run/result.json
task_output-wsl/lite-baseline-001/instances/sympy__sympy-14308/attempt-0001/agent/run/events.jsonl
task_output-wsl/lite-baseline-001/instances/sympy__sympy-14308/attempt-0001/agent-console.log
task_output-wsl/lite-baseline-001/instances/sympy__sympy-14308/attempt-0001/patch.json</x:v>
      </x:c>
      <x:c r="Y46" s="2" t="str">
        <x:v>thinking
tool_use</x:v>
      </x:c>
      <x:c r="Z46" s="11" t="n">
        <x:v>94</x:v>
      </x:c>
      <x:c r="AA46" s="11" t="n">
        <x:v>0</x:v>
      </x:c>
    </x:row>
    <x:row r="47" ht="79" customHeight="1">
      <x:c r="A47" s="2" t="str">
        <x:v>sympy__sympy-14317</x:v>
      </x:c>
      <x:c r="B47" s="2" t="str">
        <x:v>sympy/sympy</x:v>
      </x:c>
      <x:c r="C47" s="2" t="str">
        <x:v>empty_patch</x:v>
      </x:c>
      <x:c r="D47" s="2" t="str">
        <x:v>疑似thinking输出截断且无补丁</x:v>
      </x:c>
      <x:c r="E47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47" s="10" t="str">
        <x:v>保存并检查finish_reason/stop_reason；对仅thinking或length结束继续推理/执行，完成前检查实际补丁是否存在。</x:v>
      </x:c>
      <x:c r="G47" s="2" t="str">
        <x:v>通过</x:v>
      </x:c>
      <x:c r="H47" s="2" t="str">
        <x:v>completed</x:v>
      </x:c>
      <x:c r="I47" s="11" t="n">
        <x:v>1</x:v>
      </x:c>
      <x:c r="J47" s="11" t="n">
        <x:v>1</x:v>
      </x:c>
      <x:c r="K47" s="11" t="str">
        <x:v>empty_patch</x:v>
      </x:c>
      <x:c r="L47" s="11"/>
      <x:c r="M47" s="11"/>
      <x:c r="N47" s="11"/>
      <x:c r="O47" s="11"/>
      <x:c r="P47" s="11" t="n">
        <x:v>601313</x:v>
      </x:c>
      <x:c r="Q47" s="11" t="n">
        <x:v>601313</x:v>
      </x:c>
      <x:c r="R47" s="11" t="n">
        <x:v>51</x:v>
      </x:c>
      <x:c r="S47" s="11" t="n">
        <x:v>51</x:v>
      </x:c>
      <x:c r="T47" s="11" t="n">
        <x:v>50</x:v>
      </x:c>
      <x:c r="U47" s="12" t="n">
        <x:v>127.938</x:v>
      </x:c>
      <x:c r="V47" s="9" t="str"/>
      <x:c r="W47" s="9" t="str"/>
      <x:c r="X47" s="9" t="str">
        <x:v>task_output-wsl/lite-baseline-001/instances/sympy__sympy-14317/attempt-0001/state.json
task_output-wsl/lite-baseline-001/instances/sympy__sympy-14317/attempt-0001/agent/run/result.json
task_output-wsl/lite-baseline-001/instances/sympy__sympy-14317/attempt-0001/agent/run/events.jsonl
task_output-wsl/lite-baseline-001/instances/sympy__sympy-14317/attempt-0001/agent-console.log
task_output-wsl/lite-baseline-001/instances/sympy__sympy-14317/attempt-0001/patch.json</x:v>
      </x:c>
      <x:c r="Y47" s="2" t="str">
        <x:v>thinking</x:v>
      </x:c>
      <x:c r="Z47" s="11" t="n">
        <x:v>4096</x:v>
      </x:c>
      <x:c r="AA47" s="11" t="n">
        <x:v>1</x:v>
      </x:c>
    </x:row>
    <x:row r="48" ht="79" customHeight="1">
      <x:c r="A48" s="2" t="str">
        <x:v>sympy__sympy-14396</x:v>
      </x:c>
      <x:c r="B48" s="2" t="str">
        <x:v>sympy/sympy</x:v>
      </x:c>
      <x:c r="C48" s="2" t="str">
        <x:v>empty_patch</x:v>
      </x:c>
      <x:c r="D48" s="2" t="str">
        <x:v>疑似thinking输出截断且无补丁</x:v>
      </x:c>
      <x:c r="E48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48" s="10" t="str">
        <x:v>保存并检查finish_reason/stop_reason；对仅thinking或length结束继续推理/执行，完成前检查实际补丁是否存在。</x:v>
      </x:c>
      <x:c r="G48" s="2" t="str">
        <x:v>通过</x:v>
      </x:c>
      <x:c r="H48" s="2" t="str">
        <x:v>completed</x:v>
      </x:c>
      <x:c r="I48" s="11" t="n">
        <x:v>1</x:v>
      </x:c>
      <x:c r="J48" s="11" t="n">
        <x:v>1</x:v>
      </x:c>
      <x:c r="K48" s="11" t="str">
        <x:v>empty_patch</x:v>
      </x:c>
      <x:c r="L48" s="11"/>
      <x:c r="M48" s="11"/>
      <x:c r="N48" s="11"/>
      <x:c r="O48" s="11"/>
      <x:c r="P48" s="11" t="n">
        <x:v>182041</x:v>
      </x:c>
      <x:c r="Q48" s="11" t="n">
        <x:v>182041</x:v>
      </x:c>
      <x:c r="R48" s="11" t="n">
        <x:v>16</x:v>
      </x:c>
      <x:c r="S48" s="11" t="n">
        <x:v>16</x:v>
      </x:c>
      <x:c r="T48" s="11" t="n">
        <x:v>16</x:v>
      </x:c>
      <x:c r="U48" s="12" t="n">
        <x:v>58.11</x:v>
      </x:c>
      <x:c r="V48" s="9" t="str"/>
      <x:c r="W48" s="9" t="str"/>
      <x:c r="X48" s="9" t="str">
        <x:v>task_output-wsl/lite-baseline-001/instances/sympy__sympy-14396/attempt-0001/state.json
task_output-wsl/lite-baseline-001/instances/sympy__sympy-14396/attempt-0001/agent/run/result.json
task_output-wsl/lite-baseline-001/instances/sympy__sympy-14396/attempt-0001/agent/run/events.jsonl
task_output-wsl/lite-baseline-001/instances/sympy__sympy-14396/attempt-0001/agent-console.log
task_output-wsl/lite-baseline-001/instances/sympy__sympy-14396/attempt-0001/patch.json</x:v>
      </x:c>
      <x:c r="Y48" s="2" t="str">
        <x:v>thinking</x:v>
      </x:c>
      <x:c r="Z48" s="11" t="n">
        <x:v>4096</x:v>
      </x:c>
      <x:c r="AA48" s="11" t="n">
        <x:v>1</x:v>
      </x:c>
    </x:row>
    <x:row r="49" ht="79" customHeight="1">
      <x:c r="A49" s="2" t="str">
        <x:v>sympy__sympy-16503</x:v>
      </x:c>
      <x:c r="B49" s="2" t="str">
        <x:v>sympy/sympy</x:v>
      </x:c>
      <x:c r="C49" s="2" t="str">
        <x:v>empty_patch</x:v>
      </x:c>
      <x:c r="D49" s="2" t="str">
        <x:v>疑似thinking输出截断且无补丁</x:v>
      </x:c>
      <x:c r="E49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49" s="10" t="str">
        <x:v>保存并检查finish_reason/stop_reason；对仅thinking或length结束继续推理/执行，完成前检查实际补丁是否存在。</x:v>
      </x:c>
      <x:c r="G49" s="2" t="str">
        <x:v>通过</x:v>
      </x:c>
      <x:c r="H49" s="2" t="str">
        <x:v>completed</x:v>
      </x:c>
      <x:c r="I49" s="11" t="n">
        <x:v>1</x:v>
      </x:c>
      <x:c r="J49" s="11" t="n">
        <x:v>1</x:v>
      </x:c>
      <x:c r="K49" s="11" t="str">
        <x:v>empty_patch</x:v>
      </x:c>
      <x:c r="L49" s="11"/>
      <x:c r="M49" s="11"/>
      <x:c r="N49" s="11"/>
      <x:c r="O49" s="11"/>
      <x:c r="P49" s="11" t="n">
        <x:v>405876</x:v>
      </x:c>
      <x:c r="Q49" s="11" t="n">
        <x:v>405876</x:v>
      </x:c>
      <x:c r="R49" s="11" t="n">
        <x:v>37</x:v>
      </x:c>
      <x:c r="S49" s="11" t="n">
        <x:v>37</x:v>
      </x:c>
      <x:c r="T49" s="11" t="n">
        <x:v>35</x:v>
      </x:c>
      <x:c r="U49" s="12" t="n">
        <x:v>166.899</x:v>
      </x:c>
      <x:c r="V49" s="9" t="str"/>
      <x:c r="W49" s="9" t="str"/>
      <x:c r="X49" s="9" t="str">
        <x:v>task_output-wsl/lite-baseline-001/instances/sympy__sympy-16503/attempt-0001/state.json
task_output-wsl/lite-baseline-001/instances/sympy__sympy-16503/attempt-0001/agent/run/result.json
task_output-wsl/lite-baseline-001/instances/sympy__sympy-16503/attempt-0001/agent/run/events.jsonl
task_output-wsl/lite-baseline-001/instances/sympy__sympy-16503/attempt-0001/agent-console.log
task_output-wsl/lite-baseline-001/instances/sympy__sympy-16503/attempt-0001/patch.json</x:v>
      </x:c>
      <x:c r="Y49" s="2" t="str">
        <x:v>thinking</x:v>
      </x:c>
      <x:c r="Z49" s="11" t="n">
        <x:v>4096</x:v>
      </x:c>
      <x:c r="AA49" s="11" t="n">
        <x:v>1</x:v>
      </x:c>
    </x:row>
    <x:row r="50" ht="79" customHeight="1">
      <x:c r="A50" s="2" t="str">
        <x:v>sympy__sympy-16988</x:v>
      </x:c>
      <x:c r="B50" s="2" t="str">
        <x:v>sympy/sympy</x:v>
      </x:c>
      <x:c r="C50" s="2" t="str">
        <x:v>empty_patch</x:v>
      </x:c>
      <x:c r="D50" s="2" t="str">
        <x:v>达到轮数上限且无补丁</x:v>
      </x:c>
      <x:c r="E50" s="10" t="str">
        <x:v>达到60个lead model turns上限，最终未留下可收集的工作树补丁，grading未运行。日志显示主要在阅读、复现和方案探索；仅增加轮数能否成功尚无证据。</x:v>
      </x:c>
      <x:c r="F50" s="10" t="str">
        <x:v>在前段轮次完成最小补丁并测试，设置剩余轮次提示/检查点；减少重复阅读和低收益探索。</x:v>
      </x:c>
      <x:c r="G50" s="2" t="str">
        <x:v>通过</x:v>
      </x:c>
      <x:c r="H50" s="2" t="str">
        <x:v>limit</x:v>
      </x:c>
      <x:c r="I50" s="11" t="n">
        <x:v>1</x:v>
      </x:c>
      <x:c r="J50" s="11" t="n">
        <x:v>1</x:v>
      </x:c>
      <x:c r="K50" s="11" t="str">
        <x:v>empty_patch</x:v>
      </x:c>
      <x:c r="L50" s="11"/>
      <x:c r="M50" s="11"/>
      <x:c r="N50" s="11"/>
      <x:c r="O50" s="11"/>
      <x:c r="P50" s="11" t="n">
        <x:v>695068</x:v>
      </x:c>
      <x:c r="Q50" s="11" t="n">
        <x:v>695068</x:v>
      </x:c>
      <x:c r="R50" s="11" t="n">
        <x:v>62</x:v>
      </x:c>
      <x:c r="S50" s="11" t="n">
        <x:v>62</x:v>
      </x:c>
      <x:c r="T50" s="11" t="n">
        <x:v>60</x:v>
      </x:c>
      <x:c r="U50" s="12" t="n">
        <x:v>161.322</x:v>
      </x:c>
      <x:c r="V50" s="9" t="str"/>
      <x:c r="W50" s="9" t="str"/>
      <x:c r="X50" s="9" t="str">
        <x:v>task_output-wsl/lite-baseline-001/instances/sympy__sympy-16988/attempt-0001/state.json
task_output-wsl/lite-baseline-001/instances/sympy__sympy-16988/attempt-0001/agent/run/result.json
task_output-wsl/lite-baseline-001/instances/sympy__sympy-16988/attempt-0001/agent/run/events.jsonl
task_output-wsl/lite-baseline-001/instances/sympy__sympy-16988/attempt-0001/agent-console.log
task_output-wsl/lite-baseline-001/instances/sympy__sympy-16988/attempt-0001/patch.json</x:v>
      </x:c>
      <x:c r="Y50" s="2" t="str">
        <x:v>thinking
tool_use</x:v>
      </x:c>
      <x:c r="Z50" s="11" t="n">
        <x:v>558</x:v>
      </x:c>
      <x:c r="AA50" s="11" t="n">
        <x:v>0</x:v>
      </x:c>
    </x:row>
    <x:row r="51" ht="79" customHeight="1">
      <x:c r="A51" s="2" t="str">
        <x:v>sympy__sympy-17022</x:v>
      </x:c>
      <x:c r="B51" s="2" t="str">
        <x:v>sympy/sympy</x:v>
      </x:c>
      <x:c r="C51" s="2" t="str">
        <x:v>empty_patch</x:v>
      </x:c>
      <x:c r="D51" s="2" t="str">
        <x:v>达到轮数上限且无补丁</x:v>
      </x:c>
      <x:c r="E51" s="10" t="str">
        <x:v>达到60个lead model turns上限，最终未留下可收集的工作树补丁，grading未运行。日志显示主要在阅读、复现和方案探索；仅增加轮数能否成功尚无证据。</x:v>
      </x:c>
      <x:c r="F51" s="10" t="str">
        <x:v>在前段轮次完成最小补丁并测试，设置剩余轮次提示/检查点；减少重复阅读和低收益探索。</x:v>
      </x:c>
      <x:c r="G51" s="2" t="str">
        <x:v>通过</x:v>
      </x:c>
      <x:c r="H51" s="2" t="str">
        <x:v>limit</x:v>
      </x:c>
      <x:c r="I51" s="11" t="n">
        <x:v>1</x:v>
      </x:c>
      <x:c r="J51" s="11" t="n">
        <x:v>1</x:v>
      </x:c>
      <x:c r="K51" s="11" t="str">
        <x:v>empty_patch</x:v>
      </x:c>
      <x:c r="L51" s="11"/>
      <x:c r="M51" s="11"/>
      <x:c r="N51" s="11"/>
      <x:c r="O51" s="11"/>
      <x:c r="P51" s="11" t="n">
        <x:v>777147</x:v>
      </x:c>
      <x:c r="Q51" s="11" t="n">
        <x:v>777147</x:v>
      </x:c>
      <x:c r="R51" s="11" t="n">
        <x:v>63</x:v>
      </x:c>
      <x:c r="S51" s="11" t="n">
        <x:v>63</x:v>
      </x:c>
      <x:c r="T51" s="11" t="n">
        <x:v>60</x:v>
      </x:c>
      <x:c r="U51" s="12" t="n">
        <x:v>158.463</x:v>
      </x:c>
      <x:c r="V51" s="9" t="str"/>
      <x:c r="W51" s="9" t="str"/>
      <x:c r="X51" s="9" t="str">
        <x:v>task_output-wsl/lite-baseline-001/instances/sympy__sympy-17022/attempt-0001/state.json
task_output-wsl/lite-baseline-001/instances/sympy__sympy-17022/attempt-0001/agent/run/result.json
task_output-wsl/lite-baseline-001/instances/sympy__sympy-17022/attempt-0001/agent/run/events.jsonl
task_output-wsl/lite-baseline-001/instances/sympy__sympy-17022/attempt-0001/agent-console.log
task_output-wsl/lite-baseline-001/instances/sympy__sympy-17022/attempt-0001/patch.json</x:v>
      </x:c>
      <x:c r="Y51" s="2" t="str">
        <x:v>thinking
tool_use
tool_use</x:v>
      </x:c>
      <x:c r="Z51" s="11" t="n">
        <x:v>266</x:v>
      </x:c>
      <x:c r="AA51" s="11" t="n">
        <x:v>0</x:v>
      </x:c>
    </x:row>
    <x:row r="52" ht="79" customHeight="1">
      <x:c r="A52" s="2" t="str">
        <x:v>sympy__sympy-17655</x:v>
      </x:c>
      <x:c r="B52" s="2" t="str">
        <x:v>sympy/sympy</x:v>
      </x:c>
      <x:c r="C52" s="2" t="str">
        <x:v>empty_patch</x:v>
      </x:c>
      <x:c r="D52" s="2" t="str">
        <x:v>达到轮数上限且无补丁</x:v>
      </x:c>
      <x:c r="E52" s="10" t="str">
        <x:v>达到60个lead model turns上限，最终未留下可收集的工作树补丁，grading未运行。日志显示主要在阅读、复现和方案探索；仅增加轮数能否成功尚无证据。</x:v>
      </x:c>
      <x:c r="F52" s="10" t="str">
        <x:v>在前段轮次完成最小补丁并测试，设置剩余轮次提示/检查点；减少重复阅读和低收益探索。</x:v>
      </x:c>
      <x:c r="G52" s="2" t="str">
        <x:v>通过</x:v>
      </x:c>
      <x:c r="H52" s="2" t="str">
        <x:v>limit</x:v>
      </x:c>
      <x:c r="I52" s="11" t="n">
        <x:v>1</x:v>
      </x:c>
      <x:c r="J52" s="11" t="n">
        <x:v>1</x:v>
      </x:c>
      <x:c r="K52" s="11" t="str">
        <x:v>empty_patch</x:v>
      </x:c>
      <x:c r="L52" s="11"/>
      <x:c r="M52" s="11"/>
      <x:c r="N52" s="11"/>
      <x:c r="O52" s="11"/>
      <x:c r="P52" s="11" t="n">
        <x:v>818206</x:v>
      </x:c>
      <x:c r="Q52" s="11" t="n">
        <x:v>818206</x:v>
      </x:c>
      <x:c r="R52" s="11" t="n">
        <x:v>63</x:v>
      </x:c>
      <x:c r="S52" s="11" t="n">
        <x:v>63</x:v>
      </x:c>
      <x:c r="T52" s="11" t="n">
        <x:v>60</x:v>
      </x:c>
      <x:c r="U52" s="12" t="n">
        <x:v>177.477</x:v>
      </x:c>
      <x:c r="V52" s="9" t="str"/>
      <x:c r="W52" s="9" t="str"/>
      <x:c r="X52" s="9" t="str">
        <x:v>task_output-wsl/lite-baseline-001/instances/sympy__sympy-17655/attempt-0001/state.json
task_output-wsl/lite-baseline-001/instances/sympy__sympy-17655/attempt-0001/agent/run/result.json
task_output-wsl/lite-baseline-001/instances/sympy__sympy-17655/attempt-0001/agent/run/events.jsonl
task_output-wsl/lite-baseline-001/instances/sympy__sympy-17655/attempt-0001/agent-console.log
task_output-wsl/lite-baseline-001/instances/sympy__sympy-17655/attempt-0001/patch.json</x:v>
      </x:c>
      <x:c r="Y52" s="2" t="str">
        <x:v>thinking
tool_use</x:v>
      </x:c>
      <x:c r="Z52" s="11" t="n">
        <x:v>1024</x:v>
      </x:c>
      <x:c r="AA52" s="11" t="n">
        <x:v>0</x:v>
      </x:c>
    </x:row>
    <x:row r="53" ht="79" customHeight="1">
      <x:c r="A53" s="2" t="str">
        <x:v>sympy__sympy-21612</x:v>
      </x:c>
      <x:c r="B53" s="2" t="str">
        <x:v>sympy/sympy</x:v>
      </x:c>
      <x:c r="C53" s="2" t="str">
        <x:v>empty_patch</x:v>
      </x:c>
      <x:c r="D53" s="2" t="str">
        <x:v>达到轮数上限且无补丁</x:v>
      </x:c>
      <x:c r="E53" s="10" t="str">
        <x:v>达到60个lead model turns上限，最终未留下可收集的工作树补丁，grading未运行。日志显示主要在阅读、复现和方案探索；仅增加轮数能否成功尚无证据。</x:v>
      </x:c>
      <x:c r="F53" s="10" t="str">
        <x:v>在前段轮次完成最小补丁并测试，设置剩余轮次提示/检查点；减少重复阅读和低收益探索。</x:v>
      </x:c>
      <x:c r="G53" s="2" t="str">
        <x:v>通过</x:v>
      </x:c>
      <x:c r="H53" s="2" t="str">
        <x:v>limit</x:v>
      </x:c>
      <x:c r="I53" s="11" t="n">
        <x:v>1</x:v>
      </x:c>
      <x:c r="J53" s="11" t="n">
        <x:v>1</x:v>
      </x:c>
      <x:c r="K53" s="11" t="str">
        <x:v>empty_patch</x:v>
      </x:c>
      <x:c r="L53" s="11"/>
      <x:c r="M53" s="11"/>
      <x:c r="N53" s="11"/>
      <x:c r="O53" s="11"/>
      <x:c r="P53" s="11" t="n">
        <x:v>766790</x:v>
      </x:c>
      <x:c r="Q53" s="11" t="n">
        <x:v>766790</x:v>
      </x:c>
      <x:c r="R53" s="11" t="n">
        <x:v>63</x:v>
      </x:c>
      <x:c r="S53" s="11" t="n">
        <x:v>63</x:v>
      </x:c>
      <x:c r="T53" s="11" t="n">
        <x:v>60</x:v>
      </x:c>
      <x:c r="U53" s="12" t="n">
        <x:v>185.07</x:v>
      </x:c>
      <x:c r="V53" s="9" t="str"/>
      <x:c r="W53" s="9" t="str"/>
      <x:c r="X53" s="9" t="str">
        <x:v>task_output-wsl/lite-baseline-001/instances/sympy__sympy-21612/attempt-0001/state.json
task_output-wsl/lite-baseline-001/instances/sympy__sympy-21612/attempt-0001/agent/run/result.json
task_output-wsl/lite-baseline-001/instances/sympy__sympy-21612/attempt-0001/agent/run/events.jsonl
task_output-wsl/lite-baseline-001/instances/sympy__sympy-21612/attempt-0001/agent-console.log
task_output-wsl/lite-baseline-001/instances/sympy__sympy-21612/attempt-0001/patch.json</x:v>
      </x:c>
      <x:c r="Y53" s="2" t="str">
        <x:v>thinking
tool_use</x:v>
      </x:c>
      <x:c r="Z53" s="11" t="n">
        <x:v>131</x:v>
      </x:c>
      <x:c r="AA53" s="11" t="n">
        <x:v>0</x:v>
      </x:c>
    </x:row>
    <x:row r="54" ht="79" customHeight="1">
      <x:c r="A54" s="2" t="str">
        <x:v>sympy__sympy-22005</x:v>
      </x:c>
      <x:c r="B54" s="2" t="str">
        <x:v>sympy/sympy</x:v>
      </x:c>
      <x:c r="C54" s="2" t="str">
        <x:v>empty_patch</x:v>
      </x:c>
      <x:c r="D54" s="2" t="str">
        <x:v>疑似thinking输出截断且无补丁</x:v>
      </x:c>
      <x:c r="E54" s="10" t="str">
        <x:v>原result标completed且text为空；最后assistant仅含thinking，无text/tool_use；末次响应输出token增量恰为4096，与max_output_tokens相同，随后run_stopped。runner收集到空补丁。强烈提示模型输出截断被当成正常完成，但未保存finish_reason，不能仅凭日志断言内部实现原因。</x:v>
      </x:c>
      <x:c r="F54" s="10" t="str">
        <x:v>保存并检查finish_reason/stop_reason；对仅thinking或length结束继续推理/执行，完成前检查实际补丁是否存在。</x:v>
      </x:c>
      <x:c r="G54" s="2" t="str">
        <x:v>通过</x:v>
      </x:c>
      <x:c r="H54" s="2" t="str">
        <x:v>completed</x:v>
      </x:c>
      <x:c r="I54" s="11" t="n">
        <x:v>1</x:v>
      </x:c>
      <x:c r="J54" s="11" t="n">
        <x:v>1</x:v>
      </x:c>
      <x:c r="K54" s="11" t="str">
        <x:v>empty_patch</x:v>
      </x:c>
      <x:c r="L54" s="11"/>
      <x:c r="M54" s="11"/>
      <x:c r="N54" s="11"/>
      <x:c r="O54" s="11"/>
      <x:c r="P54" s="11" t="n">
        <x:v>37458</x:v>
      </x:c>
      <x:c r="Q54" s="11" t="n">
        <x:v>37458</x:v>
      </x:c>
      <x:c r="R54" s="11" t="n">
        <x:v>4</x:v>
      </x:c>
      <x:c r="S54" s="11" t="n">
        <x:v>4</x:v>
      </x:c>
      <x:c r="T54" s="11" t="n">
        <x:v>4</x:v>
      </x:c>
      <x:c r="U54" s="12" t="n">
        <x:v>40.68</x:v>
      </x:c>
      <x:c r="V54" s="9" t="str"/>
      <x:c r="W54" s="9" t="str"/>
      <x:c r="X54" s="9" t="str">
        <x:v>task_output-wsl/lite-baseline-001/instances/sympy__sympy-22005/attempt-0001/state.json
task_output-wsl/lite-baseline-001/instances/sympy__sympy-22005/attempt-0001/agent/run/result.json
task_output-wsl/lite-baseline-001/instances/sympy__sympy-22005/attempt-0001/agent/run/events.jsonl
task_output-wsl/lite-baseline-001/instances/sympy__sympy-22005/attempt-0001/agent-console.log
task_output-wsl/lite-baseline-001/instances/sympy__sympy-22005/attempt-0001/patch.json</x:v>
      </x:c>
      <x:c r="Y54" s="2" t="str">
        <x:v>thinking</x:v>
      </x:c>
      <x:c r="Z54" s="11" t="n">
        <x:v>4096</x:v>
      </x:c>
      <x:c r="AA54" s="11" t="n">
        <x:v>1</x:v>
      </x:c>
    </x:row>
    <x:row r="55" ht="149" customHeight="1">
      <x:c r="A55" s="2" t="str">
        <x:v>django__django-11815</x:v>
      </x:c>
      <x:c r="B55" s="2" t="str">
        <x:v>django/django</x:v>
      </x:c>
      <x:c r="C55" s="2" t="str">
        <x:v>unresolved</x:v>
      </x:c>
      <x:c r="D55" s="2" t="str">
        <x:v>补丁目标测试未通过</x:v>
      </x:c>
      <x:c r="E55" s="10" t="str">
        <x:v>Enum序列化输出使用属性访问 TextEnum.A / RegexFlag.DOTALL，正式测试要求名称索引 TextEnum['A'] / RegexFlag['DOTALL']；2个F2P均失败。最终回复把失败解释为旧测试，但gold在同框架通过，因此不能把该明确的序列化差异归因于框架故障。</x:v>
      </x:c>
      <x:c r="F55" s="10" t="str">
        <x:v>按正式序列化格式和特殊Enum/Flag情况补齐实现；保留失败测试作为验收项。</x:v>
      </x:c>
      <x:c r="G55" s="2" t="str">
        <x:v>通过</x:v>
      </x:c>
      <x:c r="H55" s="2" t="str">
        <x:v>completed</x:v>
      </x:c>
      <x:c r="I55" s="11" t="n">
        <x:v>2</x:v>
      </x:c>
      <x:c r="J55" s="11" t="n">
        <x:v>1</x:v>
      </x:c>
      <x:c r="K55" s="11" t="str">
        <x:v>error</x:v>
      </x:c>
      <x:c r="L55" s="11" t="n">
        <x:v>0</x:v>
      </x:c>
      <x:c r="M55" s="11" t="n">
        <x:v>2</x:v>
      </x:c>
      <x:c r="N55" s="11" t="n">
        <x:v>44</x:v>
      </x:c>
      <x:c r="O55" s="11" t="n">
        <x:v>0</x:v>
      </x:c>
      <x:c r="P55" s="11" t="n">
        <x:v>313871</x:v>
      </x:c>
      <x:c r="Q55" s="11" t="n">
        <x:v>313871</x:v>
      </x:c>
      <x:c r="R55" s="11" t="n">
        <x:v>30</x:v>
      </x:c>
      <x:c r="S55" s="11" t="n">
        <x:v>30</x:v>
      </x:c>
      <x:c r="T55" s="11" t="n">
        <x:v>29</x:v>
      </x:c>
      <x:c r="U55" s="12" t="n">
        <x:v>85.49</x:v>
      </x:c>
      <x:c r="V55" s="9" t="str">
        <x:v>django/db/migrations/serializer.py</x:v>
      </x:c>
      <x:c r="W55" s="9" t="str">
        <x:v>test_serialize_class_based_validators (migrations.test_writer.WriterTests)
test_serialize_enums (migrations.test_writer.WriterTests)</x:v>
      </x:c>
      <x:c r="X55" s="9" t="str">
        <x:v>task_output-wsl/lite-baseline-001/instances/django__django-11815/attempt-0002/state.json
task_output-wsl/lite-baseline-001/instances/django__django-11815/attempt-0002/agent/run/result.json
task_output-wsl/lite-baseline-001/instances/django__django-11815/attempt-0002/agent/run/events.jsonl
task_output-wsl/lite-baseline-001/instances/django__django-11815/attempt-0002/agent-console.log
task_output-wsl/lite-baseline-001/instances/django__django-11815/attempt-0002/patch.json
task_output-wsl/lite-baseline-001/instances/django__django-11815/attempt-0002/grading/262144938a/logs/run_evaluation/akicode-559f352a5911-262144938a/akicode/django__django-11815/report.json
task_output-wsl/lite-baseline-001/instances/django__django-11815/attempt-0002/grading/262144938a/logs/run_evaluation/akicode-559f352a5911-262144938a/akicode/django__django-11815/test_output.txt
task_output-wsl/lite-baseline-001/instances/django__django-11815/attempt-0002/patch.diff</x:v>
      </x:c>
      <x:c r="Y55" s="2" t="str">
        <x:v>thinking
text</x:v>
      </x:c>
      <x:c r="Z55" s="11" t="n">
        <x:v>953</x:v>
      </x:c>
      <x:c r="AA55" s="11" t="n">
        <x:v>0</x:v>
      </x:c>
    </x:row>
    <x:row r="56" ht="149" customHeight="1">
      <x:c r="A56" s="2" t="str">
        <x:v>django__django-12700</x:v>
      </x:c>
      <x:c r="B56" s="2" t="str">
        <x:v>django/django</x:v>
      </x:c>
      <x:c r="C56" s="2" t="str">
        <x:v>unresolved</x:v>
      </x:c>
      <x:c r="D56" s="2" t="str">
        <x:v>补丁目标测试未通过</x:v>
      </x:c>
      <x:c r="E56" s="10" t="str">
        <x:v>递归清理已处理敏感字段，但把tuple统一转换为list；正式test_cleanse_setting_recurses_in_list_tuples比较嵌套容器类型而失败。</x:v>
      </x:c>
      <x:c r="F56" s="10" t="str">
        <x:v>保留list/tuple的原始容器类型，增加嵌套组合与敏感字段检查。</x:v>
      </x:c>
      <x:c r="G56" s="2" t="str">
        <x:v>通过</x:v>
      </x:c>
      <x:c r="H56" s="2" t="str">
        <x:v>completed</x:v>
      </x:c>
      <x:c r="I56" s="11" t="n">
        <x:v>1</x:v>
      </x:c>
      <x:c r="J56" s="11" t="n">
        <x:v>1</x:v>
      </x:c>
      <x:c r="K56" s="11" t="str">
        <x:v>unresolved</x:v>
      </x:c>
      <x:c r="L56" s="11" t="n">
        <x:v>0</x:v>
      </x:c>
      <x:c r="M56" s="11" t="n">
        <x:v>1</x:v>
      </x:c>
      <x:c r="N56" s="11" t="n">
        <x:v>77</x:v>
      </x:c>
      <x:c r="O56" s="11" t="n">
        <x:v>0</x:v>
      </x:c>
      <x:c r="P56" s="11" t="n">
        <x:v>45433</x:v>
      </x:c>
      <x:c r="Q56" s="11" t="n">
        <x:v>45433</x:v>
      </x:c>
      <x:c r="R56" s="11" t="n">
        <x:v>7</x:v>
      </x:c>
      <x:c r="S56" s="11" t="n">
        <x:v>7</x:v>
      </x:c>
      <x:c r="T56" s="11" t="n">
        <x:v>7</x:v>
      </x:c>
      <x:c r="U56" s="12" t="n">
        <x:v>18.7</x:v>
      </x:c>
      <x:c r="V56" s="9" t="str">
        <x:v>django/views/debug.py</x:v>
      </x:c>
      <x:c r="W56" s="9" t="str">
        <x:v>test_cleanse_setting_recurses_in_list_tuples (view_tests.tests.test_debug.ExceptionReporterFilterTests)</x:v>
      </x:c>
      <x:c r="X56" s="9" t="str">
        <x:v>task_output-wsl/lite-baseline-001/instances/django__django-12700/attempt-0001/state.json
task_output-wsl/lite-baseline-001/instances/django__django-12700/attempt-0001/agent/run/result.json
task_output-wsl/lite-baseline-001/instances/django__django-12700/attempt-0001/agent/run/events.jsonl
task_output-wsl/lite-baseline-001/instances/django__django-12700/attempt-0001/agent-console.log
task_output-wsl/lite-baseline-001/instances/django__django-12700/attempt-0001/patch.json
task_output-wsl/lite-baseline-001/instances/django__django-12700/attempt-0001/grading/6ee23820e9/logs/run_evaluation/akicode-559f352a5911-6ee23820e9/akicode/django__django-12700/report.json
task_output-wsl/lite-baseline-001/instances/django__django-12700/attempt-0001/grading/6ee23820e9/logs/run_evaluation/akicode-559f352a5911-6ee23820e9/akicode/django__django-12700/test_output.txt
task_output-wsl/lite-baseline-001/instances/django__django-12700/attempt-0001/patch.diff</x:v>
      </x:c>
      <x:c r="Y56" s="2" t="str">
        <x:v>thinking
text</x:v>
      </x:c>
      <x:c r="Z56" s="11" t="n">
        <x:v>560</x:v>
      </x:c>
      <x:c r="AA56" s="11" t="n">
        <x:v>0</x:v>
      </x:c>
    </x:row>
    <x:row r="57" ht="149" customHeight="1">
      <x:c r="A57" s="2" t="str">
        <x:v>django__django-13660</x:v>
      </x:c>
      <x:c r="B57" s="2" t="str">
        <x:v>django/django</x:v>
      </x:c>
      <x:c r="C57" s="2" t="str">
        <x:v>unresolved</x:v>
      </x:c>
      <x:c r="D57" s="2" t="str">
        <x:v>补丁回归测试未通过</x:v>
      </x:c>
      <x:c r="E57" s="10" t="str">
        <x:v>2个F2P通过，但2个P2P失败：shell -c和stdin执行后的globals检查输出False而要求True。补丁使用exec(..., {})使原有全局上下文行为丢失。</x:v>
      </x:c>
      <x:c r="F57" s="10" t="str">
        <x:v>在共享执行命名空间中兼顾新导入可见性和shell原有globals，重验两类测试。</x:v>
      </x:c>
      <x:c r="G57" s="2" t="str">
        <x:v>通过</x:v>
      </x:c>
      <x:c r="H57" s="2" t="str">
        <x:v>completed</x:v>
      </x:c>
      <x:c r="I57" s="11" t="n">
        <x:v>1</x:v>
      </x:c>
      <x:c r="J57" s="11" t="n">
        <x:v>1</x:v>
      </x:c>
      <x:c r="K57" s="11" t="str">
        <x:v>unresolved</x:v>
      </x:c>
      <x:c r="L57" s="11" t="n">
        <x:v>2</x:v>
      </x:c>
      <x:c r="M57" s="11" t="n">
        <x:v>0</x:v>
      </x:c>
      <x:c r="N57" s="11" t="n">
        <x:v>4</x:v>
      </x:c>
      <x:c r="O57" s="11" t="n">
        <x:v>2</x:v>
      </x:c>
      <x:c r="P57" s="11" t="n">
        <x:v>71040</x:v>
      </x:c>
      <x:c r="Q57" s="11" t="n">
        <x:v>71040</x:v>
      </x:c>
      <x:c r="R57" s="11" t="n">
        <x:v>10</x:v>
      </x:c>
      <x:c r="S57" s="11" t="n">
        <x:v>10</x:v>
      </x:c>
      <x:c r="T57" s="11" t="n">
        <x:v>10</x:v>
      </x:c>
      <x:c r="U57" s="12" t="n">
        <x:v>23.247</x:v>
      </x:c>
      <x:c r="V57" s="9" t="str">
        <x:v>django/core/management/commands/shell.py</x:v>
      </x:c>
      <x:c r="W57" s="9" t="str">
        <x:v>test_command_option_globals (shell.tests.ShellCommandTestCase)
test_stdin_read_globals (shell.tests.ShellCommandTestCase)</x:v>
      </x:c>
      <x:c r="X57" s="9" t="str">
        <x:v>task_output-wsl/lite-baseline-001/instances/django__django-13660/attempt-0001/state.json
task_output-wsl/lite-baseline-001/instances/django__django-13660/attempt-0001/agent/run/result.json
task_output-wsl/lite-baseline-001/instances/django__django-13660/attempt-0001/agent/run/events.jsonl
task_output-wsl/lite-baseline-001/instances/django__django-13660/attempt-0001/agent-console.log
task_output-wsl/lite-baseline-001/instances/django__django-13660/attempt-0001/patch.json
task_output-wsl/lite-baseline-001/instances/django__django-13660/attempt-0001/grading/df22a2d243/logs/run_evaluation/akicode-559f352a5911-df22a2d243/akicode/django__django-13660/report.json
task_output-wsl/lite-baseline-001/instances/django__django-13660/attempt-0001/grading/df22a2d243/logs/run_evaluation/akicode-559f352a5911-df22a2d243/akicode/django__django-13660/test_output.txt
task_output-wsl/lite-baseline-001/instances/django__django-13660/attempt-0001/patch.diff</x:v>
      </x:c>
      <x:c r="Y57" s="2" t="str">
        <x:v>thinking
text</x:v>
      </x:c>
      <x:c r="Z57" s="11" t="n">
        <x:v>138</x:v>
      </x:c>
      <x:c r="AA57" s="11" t="n">
        <x:v>0</x:v>
      </x:c>
    </x:row>
    <x:row r="58" ht="149" customHeight="1">
      <x:c r="A58" s="2" t="str">
        <x:v>django__django-14155</x:v>
      </x:c>
      <x:c r="B58" s="2" t="str">
        <x:v>django/django</x:v>
      </x:c>
      <x:c r="C58" s="2" t="str">
        <x:v>unresolved</x:v>
      </x:c>
      <x:c r="D58" s="2" t="str">
        <x:v>补丁目标测试未通过</x:v>
      </x:c>
      <x:c r="E58" s="10" t="str">
        <x:v>partial视图处理已有修改，但ResolverMatch repr的url_name/route字符串未带repr引号，正式test_repr等F2P不符；3个报告目标失败。 其中test_resolver_match_on_request在原始输出实际为ok且与前一测试拼接，存在解析错配的混合证据；其余真实断言失败足以判整题未解。</x:v>
      </x:c>
      <x:c r="F58" s="10" t="str">
        <x:v>统一repr中字符串参数的转义/引号形式，兼顾普通和partial视图。</x:v>
      </x:c>
      <x:c r="G58" s="2" t="str">
        <x:v>通过</x:v>
      </x:c>
      <x:c r="H58" s="2" t="str">
        <x:v>completed</x:v>
      </x:c>
      <x:c r="I58" s="11" t="n">
        <x:v>1</x:v>
      </x:c>
      <x:c r="J58" s="11" t="n">
        <x:v>1</x:v>
      </x:c>
      <x:c r="K58" s="11" t="str">
        <x:v>unresolved</x:v>
      </x:c>
      <x:c r="L58" s="11" t="n">
        <x:v>0</x:v>
      </x:c>
      <x:c r="M58" s="11" t="n">
        <x:v>3</x:v>
      </x:c>
      <x:c r="N58" s="11" t="n">
        <x:v>89</x:v>
      </x:c>
      <x:c r="O58" s="11" t="n">
        <x:v>0</x:v>
      </x:c>
      <x:c r="P58" s="11" t="n">
        <x:v>270932</x:v>
      </x:c>
      <x:c r="Q58" s="11" t="n">
        <x:v>270932</x:v>
      </x:c>
      <x:c r="R58" s="11" t="n">
        <x:v>26</x:v>
      </x:c>
      <x:c r="S58" s="11" t="n">
        <x:v>26</x:v>
      </x:c>
      <x:c r="T58" s="11" t="n">
        <x:v>25</x:v>
      </x:c>
      <x:c r="U58" s="12" t="n">
        <x:v>98.965</x:v>
      </x:c>
      <x:c r="V58" s="9" t="str">
        <x:v>django/urls/resolvers.py</x:v>
      </x:c>
      <x:c r="W58" s="9" t="str">
        <x:v>test_repr (urlpatterns_reverse.tests.ResolverMatchTests)
test_repr_functools_partial (urlpatterns_reverse.tests.ResolverMatchTests)
test_resolver_match_on_request (urlpatterns_reverse.tests.ResolverMatchTests)</x:v>
      </x:c>
      <x:c r="X58" s="9" t="str">
        <x:v>task_output-wsl/lite-baseline-001/instances/django__django-14155/attempt-0001/state.json
task_output-wsl/lite-baseline-001/instances/django__django-14155/attempt-0001/agent/run/result.json
task_output-wsl/lite-baseline-001/instances/django__django-14155/attempt-0001/agent/run/events.jsonl
task_output-wsl/lite-baseline-001/instances/django__django-14155/attempt-0001/agent-console.log
task_output-wsl/lite-baseline-001/instances/django__django-14155/attempt-0001/patch.json
task_output-wsl/lite-baseline-001/instances/django__django-14155/attempt-0001/grading/37806b2888/logs/run_evaluation/akicode-559f352a5911-37806b2888/akicode/django__django-14155/report.json
task_output-wsl/lite-baseline-001/instances/django__django-14155/attempt-0001/grading/37806b2888/logs/run_evaluation/akicode-559f352a5911-37806b2888/akicode/django__django-14155/test_output.txt
task_output-wsl/lite-baseline-001/instances/django__django-14155/attempt-0001/patch.diff</x:v>
      </x:c>
      <x:c r="Y58" s="2" t="str">
        <x:v>thinking
text</x:v>
      </x:c>
      <x:c r="Z58" s="11" t="n">
        <x:v>261</x:v>
      </x:c>
      <x:c r="AA58" s="11" t="n">
        <x:v>0</x:v>
      </x:c>
    </x:row>
    <x:row r="59" ht="149" customHeight="1">
      <x:c r="A59" s="2" t="str">
        <x:v>django__django-14534</x:v>
      </x:c>
      <x:c r="B59" s="2" t="str">
        <x:v>django/django</x:v>
      </x:c>
      <x:c r="C59" s="2" t="str">
        <x:v>unresolved</x:v>
      </x:c>
      <x:c r="D59" s="2" t="str">
        <x:v>补丁目标测试未通过</x:v>
      </x:c>
      <x:c r="E59" s="10" t="str">
        <x:v>达到60轮上限后提交472字节补丁；2个F2P中1个通过，另一个在BoundWidget.id_for_label直接索引attrs['id']触发KeyError。</x:v>
      </x:c>
      <x:c r="F59" s="10" t="str">
        <x:v>对无id的widget安全返回预期值；把这个失败用例纳入最小验证。</x:v>
      </x:c>
      <x:c r="G59" s="2" t="str">
        <x:v>通过</x:v>
      </x:c>
      <x:c r="H59" s="2" t="str">
        <x:v>limit</x:v>
      </x:c>
      <x:c r="I59" s="11" t="n">
        <x:v>1</x:v>
      </x:c>
      <x:c r="J59" s="11" t="n">
        <x:v>1</x:v>
      </x:c>
      <x:c r="K59" s="11" t="str">
        <x:v>unresolved</x:v>
      </x:c>
      <x:c r="L59" s="11" t="n">
        <x:v>1</x:v>
      </x:c>
      <x:c r="M59" s="11" t="n">
        <x:v>1</x:v>
      </x:c>
      <x:c r="N59" s="11" t="n">
        <x:v>118</x:v>
      </x:c>
      <x:c r="O59" s="11" t="n">
        <x:v>0</x:v>
      </x:c>
      <x:c r="P59" s="11" t="n">
        <x:v>660980</x:v>
      </x:c>
      <x:c r="Q59" s="11" t="n">
        <x:v>660980</x:v>
      </x:c>
      <x:c r="R59" s="11" t="n">
        <x:v>64</x:v>
      </x:c>
      <x:c r="S59" s="11" t="n">
        <x:v>64</x:v>
      </x:c>
      <x:c r="T59" s="11" t="n">
        <x:v>60</x:v>
      </x:c>
      <x:c r="U59" s="12" t="n">
        <x:v>217.409</x:v>
      </x:c>
      <x:c r="V59" s="9" t="str">
        <x:v>django/forms/boundfield.py</x:v>
      </x:c>
      <x:c r="W59" s="9" t="str">
        <x:v>test_iterable_boundfield_select (forms_tests.tests.test_forms.FormsTestCase)</x:v>
      </x:c>
      <x:c r="X59" s="9" t="str">
        <x:v>task_output-wsl/lite-baseline-001/instances/django__django-14534/attempt-0001/state.json
task_output-wsl/lite-baseline-001/instances/django__django-14534/attempt-0001/agent/run/result.json
task_output-wsl/lite-baseline-001/instances/django__django-14534/attempt-0001/agent/run/events.jsonl
task_output-wsl/lite-baseline-001/instances/django__django-14534/attempt-0001/agent-console.log
task_output-wsl/lite-baseline-001/instances/django__django-14534/attempt-0001/patch.json
task_output-wsl/lite-baseline-001/instances/django__django-14534/attempt-0001/grading/840267bd7c/logs/run_evaluation/akicode-559f352a5911-840267bd7c/akicode/django__django-14534/report.json
task_output-wsl/lite-baseline-001/instances/django__django-14534/attempt-0001/grading/840267bd7c/logs/run_evaluation/akicode-559f352a5911-840267bd7c/akicode/django__django-14534/test_output.txt
task_output-wsl/lite-baseline-001/instances/django__django-14534/attempt-0001/patch.diff</x:v>
      </x:c>
      <x:c r="Y59" s="2" t="str">
        <x:v>thinking
tool_use</x:v>
      </x:c>
      <x:c r="Z59" s="11" t="n">
        <x:v>192</x:v>
      </x:c>
      <x:c r="AA59" s="11" t="n">
        <x:v>0</x:v>
      </x:c>
    </x:row>
    <x:row r="60" ht="149" customHeight="1">
      <x:c r="A60" s="2" t="str">
        <x:v>django__django-14667</x:v>
      </x:c>
      <x:c r="B60" s="2" t="str">
        <x:v>django/django</x:v>
      </x:c>
      <x:c r="C60" s="2" t="str">
        <x:v>unresolved</x:v>
      </x:c>
      <x:c r="D60" s="2" t="str">
        <x:v>补丁同时未修复目标且破坏回归</x:v>
      </x:c>
      <x:c r="E60" s="10" t="str">
        <x:v>defer/only链的字段加载语义仍不正确：test_defer_only_chaining触发3次查询而要求1，P2P test_defer_only_clear为3而要求0。F2P和回归均有失败。</x:v>
      </x:c>
      <x:c r="F60" s="10" t="str">
        <x:v>重建only/defer/clear组合的状态转换与SQL列选择，验证查询次数。</x:v>
      </x:c>
      <x:c r="G60" s="2" t="str">
        <x:v>通过</x:v>
      </x:c>
      <x:c r="H60" s="2" t="str">
        <x:v>completed</x:v>
      </x:c>
      <x:c r="I60" s="11" t="n">
        <x:v>1</x:v>
      </x:c>
      <x:c r="J60" s="11" t="n">
        <x:v>1</x:v>
      </x:c>
      <x:c r="K60" s="11" t="str">
        <x:v>unresolved</x:v>
      </x:c>
      <x:c r="L60" s="11" t="n">
        <x:v>0</x:v>
      </x:c>
      <x:c r="M60" s="11" t="n">
        <x:v>1</x:v>
      </x:c>
      <x:c r="N60" s="11" t="n">
        <x:v>28</x:v>
      </x:c>
      <x:c r="O60" s="11" t="n">
        <x:v>1</x:v>
      </x:c>
      <x:c r="P60" s="11" t="n">
        <x:v>260124</x:v>
      </x:c>
      <x:c r="Q60" s="11" t="n">
        <x:v>260124</x:v>
      </x:c>
      <x:c r="R60" s="11" t="n">
        <x:v>24</x:v>
      </x:c>
      <x:c r="S60" s="11" t="n">
        <x:v>24</x:v>
      </x:c>
      <x:c r="T60" s="11" t="n">
        <x:v>24</x:v>
      </x:c>
      <x:c r="U60" s="12" t="n">
        <x:v>57.046</x:v>
      </x:c>
      <x:c r="V60" s="9" t="str">
        <x:v>django/db/models/sql/query.py</x:v>
      </x:c>
      <x:c r="W60" s="9" t="str">
        <x:v>test_defer_only_chaining (defer.tests.DeferTests)
test_defer_only_clear (defer.tests.DeferTests)</x:v>
      </x:c>
      <x:c r="X60" s="9" t="str">
        <x:v>task_output-wsl/lite-baseline-001/instances/django__django-14667/attempt-0001/state.json
task_output-wsl/lite-baseline-001/instances/django__django-14667/attempt-0001/agent/run/result.json
task_output-wsl/lite-baseline-001/instances/django__django-14667/attempt-0001/agent/run/events.jsonl
task_output-wsl/lite-baseline-001/instances/django__django-14667/attempt-0001/agent-console.log
task_output-wsl/lite-baseline-001/instances/django__django-14667/attempt-0001/patch.json
task_output-wsl/lite-baseline-001/instances/django__django-14667/attempt-0001/grading/c329f01a85/logs/run_evaluation/akicode-559f352a5911-c329f01a85/akicode/django__django-14667/report.json
task_output-wsl/lite-baseline-001/instances/django__django-14667/attempt-0001/grading/c329f01a85/logs/run_evaluation/akicode-559f352a5911-c329f01a85/akicode/django__django-14667/test_output.txt
task_output-wsl/lite-baseline-001/instances/django__django-14667/attempt-0001/patch.diff</x:v>
      </x:c>
      <x:c r="Y60" s="2" t="str">
        <x:v>thinking
text</x:v>
      </x:c>
      <x:c r="Z60" s="11" t="n">
        <x:v>232</x:v>
      </x:c>
      <x:c r="AA60" s="11" t="n">
        <x:v>0</x:v>
      </x:c>
    </x:row>
    <x:row r="61" ht="149" customHeight="1">
      <x:c r="A61" s="2" t="str">
        <x:v>matplotlib__matplotlib-22711</x:v>
      </x:c>
      <x:c r="B61" s="2" t="str">
        <x:v>matplotlib/matplotlib</x:v>
      </x:c>
      <x:c r="C61" s="2" t="str">
        <x:v>unresolved</x:v>
      </x:c>
      <x:c r="D61" s="2" t="str">
        <x:v>补丁目标测试未通过</x:v>
      </x:c>
      <x:c r="E61" s="10" t="str">
        <x:v>正式RangeSlider两个方向均失败：val为(0.2,0.6)时手柄位置为(0.1,0.34)，预期(0.2,0.6)。末轮还出现仅thinking且4096输出上限特征，补丁未完成验证。 该运行末轮仅thinking且用满4096输出token，存在结束识别异常的额外证据。</x:v>
      </x:c>
      <x:c r="F61" s="10" t="str">
        <x:v>修正手柄坐标更新逻辑并用两个方向的正式目标验收；同时修正响应截断识别。</x:v>
      </x:c>
      <x:c r="G61" s="2" t="str">
        <x:v>通过</x:v>
      </x:c>
      <x:c r="H61" s="2" t="str">
        <x:v>completed</x:v>
      </x:c>
      <x:c r="I61" s="11" t="n">
        <x:v>1</x:v>
      </x:c>
      <x:c r="J61" s="11" t="n">
        <x:v>1</x:v>
      </x:c>
      <x:c r="K61" s="11" t="str">
        <x:v>unresolved</x:v>
      </x:c>
      <x:c r="L61" s="11" t="n">
        <x:v>0</x:v>
      </x:c>
      <x:c r="M61" s="11" t="n">
        <x:v>2</x:v>
      </x:c>
      <x:c r="N61" s="11" t="n">
        <x:v>91</x:v>
      </x:c>
      <x:c r="O61" s="11" t="n">
        <x:v>0</x:v>
      </x:c>
      <x:c r="P61" s="11" t="n">
        <x:v>294755</x:v>
      </x:c>
      <x:c r="Q61" s="11" t="n">
        <x:v>294755</x:v>
      </x:c>
      <x:c r="R61" s="11" t="n">
        <x:v>27</x:v>
      </x:c>
      <x:c r="S61" s="11" t="n">
        <x:v>27</x:v>
      </x:c>
      <x:c r="T61" s="11" t="n">
        <x:v>26</x:v>
      </x:c>
      <x:c r="U61" s="12" t="n">
        <x:v>115.758</x:v>
      </x:c>
      <x:c r="V61" s="9" t="str">
        <x:v>lib/matplotlib/widgets.py</x:v>
      </x:c>
      <x:c r="W61" s="9" t="str">
        <x:v>lib/matplotlib/tests/test_widgets.py::test_range_slider[horizontal]
lib/matplotlib/tests/test_widgets.py::test_range_slider[vertical]</x:v>
      </x:c>
      <x:c r="X61" s="9" t="str">
        <x:v>task_output-wsl/lite-baseline-001/instances/matplotlib__matplotlib-22711/attempt-0001/state.json
task_output-wsl/lite-baseline-001/instances/matplotlib__matplotlib-22711/attempt-0001/agent/run/result.json
task_output-wsl/lite-baseline-001/instances/matplotlib__matplotlib-22711/attempt-0001/agent/run/events.jsonl
task_output-wsl/lite-baseline-001/instances/matplotlib__matplotlib-22711/attempt-0001/agent-console.log
task_output-wsl/lite-baseline-001/instances/matplotlib__matplotlib-22711/attempt-0001/patch.json
task_output-wsl/lite-baseline-001/instances/matplotlib__matplotlib-22711/attempt-0001/grading/c45cf3fb7d/logs/run_evaluation/akicode-559f352a5911-c45cf3fb7d/akicode/matplotlib__matplotlib-22711/report.json
task_output-wsl/lite-baseline-001/instances/matplotlib__matplotlib-22711/attempt-0001/grading/c45cf3fb7d/logs/run_evaluation/akicode-559f352a5911-c45cf3fb7d/akicode/matplotlib__matplotlib-22711/test_output.txt
task_output-wsl/lite-baseline-001/instances/matplotlib__matplotlib-22711/attempt-0001/patch.diff</x:v>
      </x:c>
      <x:c r="Y61" s="2" t="str">
        <x:v>thinking</x:v>
      </x:c>
      <x:c r="Z61" s="11" t="n">
        <x:v>4096</x:v>
      </x:c>
      <x:c r="AA61" s="11" t="n">
        <x:v>1</x:v>
      </x:c>
    </x:row>
    <x:row r="62" ht="149" customHeight="1">
      <x:c r="A62" s="2" t="str">
        <x:v>matplotlib__matplotlib-22835</x:v>
      </x:c>
      <x:c r="B62" s="2" t="str">
        <x:v>matplotlib/matplotlib</x:v>
      </x:c>
      <x:c r="C62" s="2" t="str">
        <x:v>unresolved</x:v>
      </x:c>
      <x:c r="D62" s="2" t="str">
        <x:v>补丁目标测试未通过</x:v>
      </x:c>
      <x:c r="E62" s="10" t="str">
        <x:v>BoundaryNorm不再崩溃，但format_cursor_data精度格式仍不符：正式测试要求[-1.0]，补丁给出[-1.]。</x:v>
      </x:c>
      <x:c r="F62" s="10" t="str">
        <x:v>按边界间距确定有效位数并覆盖边界内外数值格式。</x:v>
      </x:c>
      <x:c r="G62" s="2" t="str">
        <x:v>通过</x:v>
      </x:c>
      <x:c r="H62" s="2" t="str">
        <x:v>completed</x:v>
      </x:c>
      <x:c r="I62" s="11" t="n">
        <x:v>1</x:v>
      </x:c>
      <x:c r="J62" s="11" t="n">
        <x:v>1</x:v>
      </x:c>
      <x:c r="K62" s="11" t="str">
        <x:v>unresolved</x:v>
      </x:c>
      <x:c r="L62" s="11" t="n">
        <x:v>0</x:v>
      </x:c>
      <x:c r="M62" s="11" t="n">
        <x:v>1</x:v>
      </x:c>
      <x:c r="N62" s="11" t="n">
        <x:v>24</x:v>
      </x:c>
      <x:c r="O62" s="11" t="n">
        <x:v>0</x:v>
      </x:c>
      <x:c r="P62" s="11" t="n">
        <x:v>580874</x:v>
      </x:c>
      <x:c r="Q62" s="11" t="n">
        <x:v>580874</x:v>
      </x:c>
      <x:c r="R62" s="11" t="n">
        <x:v>51</x:v>
      </x:c>
      <x:c r="S62" s="11" t="n">
        <x:v>51</x:v>
      </x:c>
      <x:c r="T62" s="11" t="n">
        <x:v>48</x:v>
      </x:c>
      <x:c r="U62" s="12" t="n">
        <x:v>202.27</x:v>
      </x:c>
      <x:c r="V62" s="9" t="str">
        <x:v>lib/matplotlib/artist.py</x:v>
      </x:c>
      <x:c r="W62" s="9" t="str">
        <x:v>lib/matplotlib/tests/test_artist.py::test_format_cursor_data_BoundaryNorm</x:v>
      </x:c>
      <x:c r="X62" s="9" t="str">
        <x:v>task_output-wsl/lite-baseline-001/instances/matplotlib__matplotlib-22835/attempt-0001/state.json
task_output-wsl/lite-baseline-001/instances/matplotlib__matplotlib-22835/attempt-0001/agent/run/result.json
task_output-wsl/lite-baseline-001/instances/matplotlib__matplotlib-22835/attempt-0001/agent/run/events.jsonl
task_output-wsl/lite-baseline-001/instances/matplotlib__matplotlib-22835/attempt-0001/agent-console.log
task_output-wsl/lite-baseline-001/instances/matplotlib__matplotlib-22835/attempt-0001/patch.json
task_output-wsl/lite-baseline-001/instances/matplotlib__matplotlib-22835/attempt-0001/grading/b7731d9217/logs/run_evaluation/akicode-559f352a5911-b7731d9217/akicode/matplotlib__matplotlib-22835/report.json
task_output-wsl/lite-baseline-001/instances/matplotlib__matplotlib-22835/attempt-0001/grading/b7731d9217/logs/run_evaluation/akicode-559f352a5911-b7731d9217/akicode/matplotlib__matplotlib-22835/test_output.txt
task_output-wsl/lite-baseline-001/instances/matplotlib__matplotlib-22835/attempt-0001/patch.diff</x:v>
      </x:c>
      <x:c r="Y62" s="2" t="str">
        <x:v>thinking
text</x:v>
      </x:c>
      <x:c r="Z62" s="11" t="n">
        <x:v>327</x:v>
      </x:c>
      <x:c r="AA62" s="11" t="n">
        <x:v>0</x:v>
      </x:c>
    </x:row>
    <x:row r="63" ht="149" customHeight="1">
      <x:c r="A63" s="2" t="str">
        <x:v>matplotlib__matplotlib-23299</x:v>
      </x:c>
      <x:c r="B63" s="2" t="str">
        <x:v>matplotlib/matplotlib</x:v>
      </x:c>
      <x:c r="C63" s="2" t="str">
        <x:v>unresolved</x:v>
      </x:c>
      <x:c r="D63" s="2" t="str">
        <x:v>补丁目标测试未通过</x:v>
      </x:c>
      <x:c r="E63" s="10" t="str">
        <x:v>60轮上限后，目标test_no_backend_reset_rccontext仍失败：上下文内backend设为module://aardvark后返回agg。原始输出另有非计分警告失败，不能替代该目标失败证据。</x:v>
      </x:c>
      <x:c r="F63" s="10" t="str">
        <x:v>修正rc_context退出时backend恢复策略，并以目标backend测试确认。</x:v>
      </x:c>
      <x:c r="G63" s="2" t="str">
        <x:v>通过</x:v>
      </x:c>
      <x:c r="H63" s="2" t="str">
        <x:v>limit</x:v>
      </x:c>
      <x:c r="I63" s="11" t="n">
        <x:v>1</x:v>
      </x:c>
      <x:c r="J63" s="11" t="n">
        <x:v>1</x:v>
      </x:c>
      <x:c r="K63" s="11" t="str">
        <x:v>unresolved</x:v>
      </x:c>
      <x:c r="L63" s="11" t="n">
        <x:v>0</x:v>
      </x:c>
      <x:c r="M63" s="11" t="n">
        <x:v>1</x:v>
      </x:c>
      <x:c r="N63" s="11" t="n">
        <x:v>192</x:v>
      </x:c>
      <x:c r="O63" s="11" t="n">
        <x:v>0</x:v>
      </x:c>
      <x:c r="P63" s="11" t="n">
        <x:v>700277</x:v>
      </x:c>
      <x:c r="Q63" s="11" t="n">
        <x:v>700277</x:v>
      </x:c>
      <x:c r="R63" s="11" t="n">
        <x:v>64</x:v>
      </x:c>
      <x:c r="S63" s="11" t="n">
        <x:v>64</x:v>
      </x:c>
      <x:c r="T63" s="11" t="n">
        <x:v>60</x:v>
      </x:c>
      <x:c r="U63" s="12" t="n">
        <x:v>200.131</x:v>
      </x:c>
      <x:c r="V63" s="9" t="str">
        <x:v>lib/matplotlib/__init__.py</x:v>
      </x:c>
      <x:c r="W63" s="9" t="str">
        <x:v>lib/matplotlib/tests/test_rcparams.py::test_no_backend_reset_rccontext</x:v>
      </x:c>
      <x:c r="X63" s="9" t="str">
        <x:v>task_output-wsl/lite-baseline-001/instances/matplotlib__matplotlib-23299/attempt-0001/state.json
task_output-wsl/lite-baseline-001/instances/matplotlib__matplotlib-23299/attempt-0001/agent/run/result.json
task_output-wsl/lite-baseline-001/instances/matplotlib__matplotlib-23299/attempt-0001/agent/run/events.jsonl
task_output-wsl/lite-baseline-001/instances/matplotlib__matplotlib-23299/attempt-0001/agent-console.log
task_output-wsl/lite-baseline-001/instances/matplotlib__matplotlib-23299/attempt-0001/patch.json
task_output-wsl/lite-baseline-001/instances/matplotlib__matplotlib-23299/attempt-0001/grading/0d1bba0cae/logs/run_evaluation/akicode-559f352a5911-0d1bba0cae/akicode/matplotlib__matplotlib-23299/report.json
task_output-wsl/lite-baseline-001/instances/matplotlib__matplotlib-23299/attempt-0001/grading/0d1bba0cae/logs/run_evaluation/akicode-559f352a5911-0d1bba0cae/akicode/matplotlib__matplotlib-23299/test_output.txt
task_output-wsl/lite-baseline-001/instances/matplotlib__matplotlib-23299/attempt-0001/patch.diff</x:v>
      </x:c>
      <x:c r="Y63" s="2" t="str">
        <x:v>thinking
tool_use</x:v>
      </x:c>
      <x:c r="Z63" s="11" t="n">
        <x:v>118</x:v>
      </x:c>
      <x:c r="AA63" s="11" t="n">
        <x:v>0</x:v>
      </x:c>
    </x:row>
    <x:row r="64" ht="149" customHeight="1">
      <x:c r="A64" s="2" t="str">
        <x:v>mwaskom__seaborn-3407</x:v>
      </x:c>
      <x:c r="B64" s="2" t="str">
        <x:v>mwaskom/seaborn</x:v>
      </x:c>
      <x:c r="C64" s="2" t="str">
        <x:v>unresolved</x:v>
      </x:c>
      <x:c r="D64" s="2" t="str">
        <x:v>补丁目标测试未通过</x:v>
      </x:c>
      <x:c r="E64" s="10" t="str">
        <x:v>MultiIndex列名pairplot目标仍失败：g.diag_vars与list(cols)比较触发NumPy数组truth-value ambiguous异常，说明列标签表示/类型处理不完整。</x:v>
      </x:c>
      <x:c r="F64" s="10" t="str">
        <x:v>保持MultiIndex元组标签与普通列表的稳定表示，再验证pairplot对角变量。</x:v>
      </x:c>
      <x:c r="G64" s="2" t="str">
        <x:v>通过</x:v>
      </x:c>
      <x:c r="H64" s="2" t="str">
        <x:v>completed</x:v>
      </x:c>
      <x:c r="I64" s="11" t="n">
        <x:v>1</x:v>
      </x:c>
      <x:c r="J64" s="11" t="n">
        <x:v>1</x:v>
      </x:c>
      <x:c r="K64" s="11" t="str">
        <x:v>unresolved</x:v>
      </x:c>
      <x:c r="L64" s="11" t="n">
        <x:v>0</x:v>
      </x:c>
      <x:c r="M64" s="11" t="n">
        <x:v>1</x:v>
      </x:c>
      <x:c r="N64" s="11" t="n">
        <x:v>120</x:v>
      </x:c>
      <x:c r="O64" s="11" t="n">
        <x:v>0</x:v>
      </x:c>
      <x:c r="P64" s="11" t="n">
        <x:v>431667</x:v>
      </x:c>
      <x:c r="Q64" s="11" t="n">
        <x:v>431667</x:v>
      </x:c>
      <x:c r="R64" s="11" t="n">
        <x:v>37</x:v>
      </x:c>
      <x:c r="S64" s="11" t="n">
        <x:v>37</x:v>
      </x:c>
      <x:c r="T64" s="11" t="n">
        <x:v>36</x:v>
      </x:c>
      <x:c r="U64" s="12" t="n">
        <x:v>338.539</x:v>
      </x:c>
      <x:c r="V64" s="9" t="str">
        <x:v>seaborn/axisgrid.py</x:v>
      </x:c>
      <x:c r="W64" s="9" t="str">
        <x:v>tests/test_axisgrid.py::TestPairGrid::test_pairplot_column_multiindex</x:v>
      </x:c>
      <x:c r="X64" s="9" t="str">
        <x:v>task_output-wsl/lite-baseline-001/instances/mwaskom__seaborn-3407/attempt-0001/state.json
task_output-wsl/lite-baseline-001/instances/mwaskom__seaborn-3407/attempt-0001/agent/run/result.json
task_output-wsl/lite-baseline-001/instances/mwaskom__seaborn-3407/attempt-0001/agent/run/events.jsonl
task_output-wsl/lite-baseline-001/instances/mwaskom__seaborn-3407/attempt-0001/agent-console.log
task_output-wsl/lite-baseline-001/instances/mwaskom__seaborn-3407/attempt-0001/patch.json
task_output-wsl/lite-baseline-001/instances/mwaskom__seaborn-3407/attempt-0001/grading/64f589cbc8/logs/run_evaluation/akicode-559f352a5911-64f589cbc8/akicode/mwaskom__seaborn-3407/report.json
task_output-wsl/lite-baseline-001/instances/mwaskom__seaborn-3407/attempt-0001/grading/64f589cbc8/logs/run_evaluation/akicode-559f352a5911-64f589cbc8/akicode/mwaskom__seaborn-3407/test_output.txt
task_output-wsl/lite-baseline-001/instances/mwaskom__seaborn-3407/attempt-0001/patch.diff</x:v>
      </x:c>
      <x:c r="Y64" s="2" t="str">
        <x:v>thinking
text</x:v>
      </x:c>
      <x:c r="Z64" s="11" t="n">
        <x:v>311</x:v>
      </x:c>
      <x:c r="AA64" s="11" t="n">
        <x:v>0</x:v>
      </x:c>
    </x:row>
    <x:row r="65" ht="149" customHeight="1">
      <x:c r="A65" s="2" t="str">
        <x:v>pallets__flask-4045</x:v>
      </x:c>
      <x:c r="B65" s="2" t="str">
        <x:v>pallets/flask</x:v>
      </x:c>
      <x:c r="C65" s="2" t="str">
        <x:v>unresolved</x:v>
      </x:c>
      <x:c r="D65" s="2" t="str">
        <x:v>补丁目标测试未通过</x:v>
      </x:c>
      <x:c r="E65" s="10" t="str">
        <x:v>2个F2P中1个通过；带点endpoint的Blueprint.route仍抛AssertionError，正式测试要求ValueError。原始输出还包含Werkzeug弃用兼容错误，但该计分目标有明确产品行为差异。</x:v>
      </x:c>
      <x:c r="F65" s="10" t="str">
        <x:v>同时处理blueprint名称和endpoint名称的校验异常类型。</x:v>
      </x:c>
      <x:c r="G65" s="2" t="str">
        <x:v>通过</x:v>
      </x:c>
      <x:c r="H65" s="2" t="str">
        <x:v>completed</x:v>
      </x:c>
      <x:c r="I65" s="11" t="n">
        <x:v>1</x:v>
      </x:c>
      <x:c r="J65" s="11" t="n">
        <x:v>1</x:v>
      </x:c>
      <x:c r="K65" s="11" t="str">
        <x:v>unresolved</x:v>
      </x:c>
      <x:c r="L65" s="11" t="n">
        <x:v>1</x:v>
      </x:c>
      <x:c r="M65" s="11" t="n">
        <x:v>1</x:v>
      </x:c>
      <x:c r="N65" s="11" t="n">
        <x:v>50</x:v>
      </x:c>
      <x:c r="O65" s="11" t="n">
        <x:v>0</x:v>
      </x:c>
      <x:c r="P65" s="11" t="n">
        <x:v>368424</x:v>
      </x:c>
      <x:c r="Q65" s="11" t="n">
        <x:v>368424</x:v>
      </x:c>
      <x:c r="R65" s="11" t="n">
        <x:v>36</x:v>
      </x:c>
      <x:c r="S65" s="11" t="n">
        <x:v>36</x:v>
      </x:c>
      <x:c r="T65" s="11" t="n">
        <x:v>35</x:v>
      </x:c>
      <x:c r="U65" s="12" t="n">
        <x:v>82.626</x:v>
      </x:c>
      <x:c r="V65" s="9" t="str">
        <x:v>CHANGES.rst
src/flask/blueprints.py</x:v>
      </x:c>
      <x:c r="W65" s="9" t="str">
        <x:v>tests/test_blueprints.py::test_route_decorator_custom_endpoint_with_dots</x:v>
      </x:c>
      <x:c r="X65" s="9" t="str">
        <x:v>task_output-wsl/lite-baseline-001/instances/pallets__flask-4045/attempt-0001/state.json
task_output-wsl/lite-baseline-001/instances/pallets__flask-4045/attempt-0001/agent/run/result.json
task_output-wsl/lite-baseline-001/instances/pallets__flask-4045/attempt-0001/agent/run/events.jsonl
task_output-wsl/lite-baseline-001/instances/pallets__flask-4045/attempt-0001/agent-console.log
task_output-wsl/lite-baseline-001/instances/pallets__flask-4045/attempt-0001/patch.json
task_output-wsl/lite-baseline-001/instances/pallets__flask-4045/attempt-0001/grading/8dfae37d47/logs/run_evaluation/akicode-559f352a5911-8dfae37d47/akicode/pallets__flask-4045/report.json
task_output-wsl/lite-baseline-001/instances/pallets__flask-4045/attempt-0001/grading/8dfae37d47/logs/run_evaluation/akicode-559f352a5911-8dfae37d47/akicode/pallets__flask-4045/test_output.txt
task_output-wsl/lite-baseline-001/instances/pallets__flask-4045/attempt-0001/patch.diff</x:v>
      </x:c>
      <x:c r="Y65" s="2" t="str">
        <x:v>thinking
text</x:v>
      </x:c>
      <x:c r="Z65" s="11" t="n">
        <x:v>175</x:v>
      </x:c>
      <x:c r="AA65" s="11" t="n">
        <x:v>0</x:v>
      </x:c>
    </x:row>
    <x:row r="66" ht="149" customHeight="1">
      <x:c r="A66" s="2" t="str">
        <x:v>pydata__xarray-4493</x:v>
      </x:c>
      <x:c r="B66" s="2" t="str">
        <x:v>pydata/xarray</x:v>
      </x:c>
      <x:c r="C66" s="2" t="str">
        <x:v>unresolved</x:v>
      </x:c>
      <x:c r="D66" s="2" t="str">
        <x:v>补丁目标测试未通过</x:v>
      </x:c>
      <x:c r="E66" s="10" t="str">
        <x:v>DataArray惰性数据处理有补丁，但正式test_as_variable要求的DeprecationWarning未发出，F2P失败。原始输出中dask/pandas兼容失败不属于报告列出的计分失败。</x:v>
      </x:c>
      <x:c r="F66" s="10" t="str">
        <x:v>在避免DataArray提前计算的同时保留as_variable的警告契约；核查正式测试覆盖的数据入口。</x:v>
      </x:c>
      <x:c r="G66" s="2" t="str">
        <x:v>通过</x:v>
      </x:c>
      <x:c r="H66" s="2" t="str">
        <x:v>completed</x:v>
      </x:c>
      <x:c r="I66" s="11" t="n">
        <x:v>1</x:v>
      </x:c>
      <x:c r="J66" s="11" t="n">
        <x:v>1</x:v>
      </x:c>
      <x:c r="K66" s="11" t="str">
        <x:v>unresolved</x:v>
      </x:c>
      <x:c r="L66" s="11" t="n">
        <x:v>0</x:v>
      </x:c>
      <x:c r="M66" s="11" t="n">
        <x:v>1</x:v>
      </x:c>
      <x:c r="N66" s="11" t="n">
        <x:v>1689</x:v>
      </x:c>
      <x:c r="O66" s="11" t="n">
        <x:v>0</x:v>
      </x:c>
      <x:c r="P66" s="11" t="n">
        <x:v>255048</x:v>
      </x:c>
      <x:c r="Q66" s="11" t="n">
        <x:v>255048</x:v>
      </x:c>
      <x:c r="R66" s="11" t="n">
        <x:v>25</x:v>
      </x:c>
      <x:c r="S66" s="11" t="n">
        <x:v>25</x:v>
      </x:c>
      <x:c r="T66" s="11" t="n">
        <x:v>25</x:v>
      </x:c>
      <x:c r="U66" s="12" t="n">
        <x:v>115.343</x:v>
      </x:c>
      <x:c r="V66" s="9" t="str">
        <x:v>xarray/core/variable.py</x:v>
      </x:c>
      <x:c r="W66" s="9" t="str">
        <x:v>xarray/tests/test_variable.py::TestVariable::test_as_variable</x:v>
      </x:c>
      <x:c r="X66" s="9" t="str">
        <x:v>task_output-wsl/lite-baseline-001/instances/pydata__xarray-4493/attempt-0001/state.json
task_output-wsl/lite-baseline-001/instances/pydata__xarray-4493/attempt-0001/agent/run/result.json
task_output-wsl/lite-baseline-001/instances/pydata__xarray-4493/attempt-0001/agent/run/events.jsonl
task_output-wsl/lite-baseline-001/instances/pydata__xarray-4493/attempt-0001/agent-console.log
task_output-wsl/lite-baseline-001/instances/pydata__xarray-4493/attempt-0001/patch.json
task_output-wsl/lite-baseline-001/instances/pydata__xarray-4493/attempt-0001/grading/faddcc11b4/logs/run_evaluation/akicode-559f352a5911-faddcc11b4/akicode/pydata__xarray-4493/report.json
task_output-wsl/lite-baseline-001/instances/pydata__xarray-4493/attempt-0001/grading/faddcc11b4/logs/run_evaluation/akicode-559f352a5911-faddcc11b4/akicode/pydata__xarray-4493/test_output.txt
task_output-wsl/lite-baseline-001/instances/pydata__xarray-4493/attempt-0001/patch.diff</x:v>
      </x:c>
      <x:c r="Y66" s="2" t="str">
        <x:v>thinking
text</x:v>
      </x:c>
      <x:c r="Z66" s="11" t="n">
        <x:v>185</x:v>
      </x:c>
      <x:c r="AA66" s="11" t="n">
        <x:v>0</x:v>
      </x:c>
    </x:row>
    <x:row r="67" ht="149" customHeight="1">
      <x:c r="A67" s="2" t="str">
        <x:v>pylint-dev__pylint-7114</x:v>
      </x:c>
      <x:c r="B67" s="2" t="str">
        <x:v>pylint-dev/pylint</x:v>
      </x:c>
      <x:c r="C67" s="2" t="str">
        <x:v>unresolved</x:v>
      </x:c>
      <x:c r="D67" s="2" t="str">
        <x:v>补丁回归测试未通过</x:v>
      </x:c>
      <x:c r="E67" s="10" t="str">
        <x:v>目标F2P通过，但5个P2P的fix_import_path失败：目录参数路径被退到父目录，例如/tmp/...替代/tmp/.../a。60轮后留下回归补丁。</x:v>
      </x:c>
      <x:c r="F67" s="10" t="str">
        <x:v>区分包目录、普通目录和文件入口的python path查找规则，先修复5个回归用例。</x:v>
      </x:c>
      <x:c r="G67" s="2" t="str">
        <x:v>通过</x:v>
      </x:c>
      <x:c r="H67" s="2" t="str">
        <x:v>limit</x:v>
      </x:c>
      <x:c r="I67" s="11" t="n">
        <x:v>1</x:v>
      </x:c>
      <x:c r="J67" s="11" t="n">
        <x:v>1</x:v>
      </x:c>
      <x:c r="K67" s="11" t="str">
        <x:v>unresolved</x:v>
      </x:c>
      <x:c r="L67" s="11" t="n">
        <x:v>1</x:v>
      </x:c>
      <x:c r="M67" s="11" t="n">
        <x:v>0</x:v>
      </x:c>
      <x:c r="N67" s="11" t="n">
        <x:v>51</x:v>
      </x:c>
      <x:c r="O67" s="11" t="n">
        <x:v>5</x:v>
      </x:c>
      <x:c r="P67" s="11" t="n">
        <x:v>690180</x:v>
      </x:c>
      <x:c r="Q67" s="11" t="n">
        <x:v>690180</x:v>
      </x:c>
      <x:c r="R67" s="11" t="n">
        <x:v>62</x:v>
      </x:c>
      <x:c r="S67" s="11" t="n">
        <x:v>62</x:v>
      </x:c>
      <x:c r="T67" s="11" t="n">
        <x:v>60</x:v>
      </x:c>
      <x:c r="U67" s="12" t="n">
        <x:v>158.899</x:v>
      </x:c>
      <x:c r="V67" s="9" t="str">
        <x:v>pylint/lint/expand_modules.py</x:v>
      </x:c>
      <x:c r="W67" s="9" t="str">
        <x:v>tests/lint/unittest_lint.py::test_one_arg[case3]
tests/lint/unittest_lint.py::test_one_arg[case4]
tests/lint/unittest_lint.py::test_two_similar_args[case3]
tests/lint/unittest_lint.py::test_more_args[case1]
tests/lint/unittest_lint.py::test_more_args[case2]</x:v>
      </x:c>
      <x:c r="X67" s="9" t="str">
        <x:v>task_output-wsl/lite-baseline-001/instances/pylint-dev__pylint-7114/attempt-0001/state.json
task_output-wsl/lite-baseline-001/instances/pylint-dev__pylint-7114/attempt-0001/agent/run/result.json
task_output-wsl/lite-baseline-001/instances/pylint-dev__pylint-7114/attempt-0001/agent/run/events.jsonl
task_output-wsl/lite-baseline-001/instances/pylint-dev__pylint-7114/attempt-0001/agent-console.log
task_output-wsl/lite-baseline-001/instances/pylint-dev__pylint-7114/attempt-0001/patch.json
task_output-wsl/lite-baseline-001/instances/pylint-dev__pylint-7114/attempt-0001/grading/fd34db1c7e/logs/run_evaluation/akicode-559f352a5911-fd34db1c7e/akicode/pylint-dev__pylint-7114/report.json
task_output-wsl/lite-baseline-001/instances/pylint-dev__pylint-7114/attempt-0001/grading/fd34db1c7e/logs/run_evaluation/akicode-559f352a5911-fd34db1c7e/akicode/pylint-dev__pylint-7114/test_output.txt
task_output-wsl/lite-baseline-001/instances/pylint-dev__pylint-7114/attempt-0001/patch.diff</x:v>
      </x:c>
      <x:c r="Y67" s="2" t="str">
        <x:v>thinking
tool_use</x:v>
      </x:c>
      <x:c r="Z67" s="11" t="n">
        <x:v>213</x:v>
      </x:c>
      <x:c r="AA67" s="11" t="n">
        <x:v>0</x:v>
      </x:c>
    </x:row>
    <x:row r="68" ht="149" customHeight="1">
      <x:c r="A68" s="2" t="str">
        <x:v>pytest-dev__pytest-5413</x:v>
      </x:c>
      <x:c r="B68" s="2" t="str">
        <x:v>pytest-dev/pytest</x:v>
      </x:c>
      <x:c r="C68" s="2" t="str">
        <x:v>unresolved</x:v>
      </x:c>
      <x:c r="D68" s="2" t="str">
        <x:v>补丁目标测试未通过</x:v>
      </x:c>
      <x:c r="E68" s="10" t="str">
        <x:v>ExceptionInfo.__str__被改为exconly()，但正式test_excinfo_repr_str要求&lt;ExceptionInfo ValueError tblen=4&gt;而实际ValueError。需求解释与基准验收选择不一致。</x:v>
      </x:c>
      <x:c r="F68" s="10" t="str">
        <x:v>按实际验收契约调整ExceptionInfo字符串表示，避免把issue建议当作最终规格。</x:v>
      </x:c>
      <x:c r="G68" s="2" t="str">
        <x:v>通过</x:v>
      </x:c>
      <x:c r="H68" s="2" t="str">
        <x:v>completed</x:v>
      </x:c>
      <x:c r="I68" s="11" t="n">
        <x:v>1</x:v>
      </x:c>
      <x:c r="J68" s="11" t="n">
        <x:v>1</x:v>
      </x:c>
      <x:c r="K68" s="11" t="str">
        <x:v>unresolved</x:v>
      </x:c>
      <x:c r="L68" s="11" t="n">
        <x:v>0</x:v>
      </x:c>
      <x:c r="M68" s="11" t="n">
        <x:v>1</x:v>
      </x:c>
      <x:c r="N68" s="11" t="n">
        <x:v>92</x:v>
      </x:c>
      <x:c r="O68" s="11" t="n">
        <x:v>0</x:v>
      </x:c>
      <x:c r="P68" s="11" t="n">
        <x:v>344469</x:v>
      </x:c>
      <x:c r="Q68" s="11" t="n">
        <x:v>344469</x:v>
      </x:c>
      <x:c r="R68" s="11" t="n">
        <x:v>32</x:v>
      </x:c>
      <x:c r="S68" s="11" t="n">
        <x:v>32</x:v>
      </x:c>
      <x:c r="T68" s="11" t="n">
        <x:v>31</x:v>
      </x:c>
      <x:c r="U68" s="12" t="n">
        <x:v>84.913</x:v>
      </x:c>
      <x:c r="V68" s="9" t="str">
        <x:v>changelog/5404.bugfix.rst
src/_pytest/_code/code.py</x:v>
      </x:c>
      <x:c r="W68" s="9" t="str">
        <x:v>testing/code/test_excinfo.py::test_excinfo_repr_str</x:v>
      </x:c>
      <x:c r="X68" s="9" t="str">
        <x:v>task_output-wsl/lite-baseline-001/instances/pytest-dev__pytest-5413/attempt-0001/state.json
task_output-wsl/lite-baseline-001/instances/pytest-dev__pytest-5413/attempt-0001/agent/run/result.json
task_output-wsl/lite-baseline-001/instances/pytest-dev__pytest-5413/attempt-0001/agent/run/events.jsonl
task_output-wsl/lite-baseline-001/instances/pytest-dev__pytest-5413/attempt-0001/agent-console.log
task_output-wsl/lite-baseline-001/instances/pytest-dev__pytest-5413/attempt-0001/patch.json
task_output-wsl/lite-baseline-001/instances/pytest-dev__pytest-5413/attempt-0001/grading/fc9f3224bb/logs/run_evaluation/akicode-559f352a5911-fc9f3224bb/akicode/pytest-dev__pytest-5413/report.json
task_output-wsl/lite-baseline-001/instances/pytest-dev__pytest-5413/attempt-0001/grading/fc9f3224bb/logs/run_evaluation/akicode-559f352a5911-fc9f3224bb/akicode/pytest-dev__pytest-5413/test_output.txt
task_output-wsl/lite-baseline-001/instances/pytest-dev__pytest-5413/attempt-0001/patch.diff</x:v>
      </x:c>
      <x:c r="Y68" s="2" t="str">
        <x:v>thinking
text</x:v>
      </x:c>
      <x:c r="Z68" s="11" t="n">
        <x:v>251</x:v>
      </x:c>
      <x:c r="AA68" s="11" t="n">
        <x:v>0</x:v>
      </x:c>
    </x:row>
    <x:row r="69" ht="149" customHeight="1">
      <x:c r="A69" s="2" t="str">
        <x:v>pytest-dev__pytest-7168</x:v>
      </x:c>
      <x:c r="B69" s="2" t="str">
        <x:v>pytest-dev/pytest</x:v>
      </x:c>
      <x:c r="C69" s="2" t="str">
        <x:v>unresolved</x:v>
      </x:c>
      <x:c r="D69" s="2" t="str">
        <x:v>补丁目标测试未通过</x:v>
      </x:c>
      <x:c r="E69" s="10" t="str">
        <x:v>11个F2P中10个通过；broken __getattribute__情况下saferepr输出类名&lt;unknown&gt;，测试仍要求SomeClass。</x:v>
      </x:c>
      <x:c r="F69" s="10" t="str">
        <x:v>用不触发实例自定义属性访问的方式获取类名，保留异常安全性。</x:v>
      </x:c>
      <x:c r="G69" s="2" t="str">
        <x:v>通过</x:v>
      </x:c>
      <x:c r="H69" s="2" t="str">
        <x:v>completed</x:v>
      </x:c>
      <x:c r="I69" s="11" t="n">
        <x:v>1</x:v>
      </x:c>
      <x:c r="J69" s="11" t="n">
        <x:v>1</x:v>
      </x:c>
      <x:c r="K69" s="11" t="str">
        <x:v>unresolved</x:v>
      </x:c>
      <x:c r="L69" s="11" t="n">
        <x:v>10</x:v>
      </x:c>
      <x:c r="M69" s="11" t="n">
        <x:v>1</x:v>
      </x:c>
      <x:c r="N69" s="11" t="n">
        <x:v>0</x:v>
      </x:c>
      <x:c r="O69" s="11" t="n">
        <x:v>0</x:v>
      </x:c>
      <x:c r="P69" s="11" t="n">
        <x:v>238581</x:v>
      </x:c>
      <x:c r="Q69" s="11" t="n">
        <x:v>238581</x:v>
      </x:c>
      <x:c r="R69" s="11" t="n">
        <x:v>21</x:v>
      </x:c>
      <x:c r="S69" s="11" t="n">
        <x:v>21</x:v>
      </x:c>
      <x:c r="T69" s="11" t="n">
        <x:v>20</x:v>
      </x:c>
      <x:c r="U69" s="12" t="n">
        <x:v>61.986</x:v>
      </x:c>
      <x:c r="V69" s="9" t="str">
        <x:v>src/_pytest/_io/saferepr.py</x:v>
      </x:c>
      <x:c r="W69" s="9" t="str">
        <x:v>testing/io/test_saferepr.py::test_broken_getattribute</x:v>
      </x:c>
      <x:c r="X69" s="9" t="str">
        <x:v>task_output-wsl/lite-baseline-001/instances/pytest-dev__pytest-7168/attempt-0001/state.json
task_output-wsl/lite-baseline-001/instances/pytest-dev__pytest-7168/attempt-0001/agent/run/result.json
task_output-wsl/lite-baseline-001/instances/pytest-dev__pytest-7168/attempt-0001/agent/run/events.jsonl
task_output-wsl/lite-baseline-001/instances/pytest-dev__pytest-7168/attempt-0001/agent-console.log
task_output-wsl/lite-baseline-001/instances/pytest-dev__pytest-7168/attempt-0001/patch.json
task_output-wsl/lite-baseline-001/instances/pytest-dev__pytest-7168/attempt-0001/grading/99a0ccfc76/logs/run_evaluation/akicode-559f352a5911-99a0ccfc76/akicode/pytest-dev__pytest-7168/report.json
task_output-wsl/lite-baseline-001/instances/pytest-dev__pytest-7168/attempt-0001/grading/99a0ccfc76/logs/run_evaluation/akicode-559f352a5911-99a0ccfc76/akicode/pytest-dev__pytest-7168/test_output.txt
task_output-wsl/lite-baseline-001/instances/pytest-dev__pytest-7168/attempt-0001/patch.diff</x:v>
      </x:c>
      <x:c r="Y69" s="2" t="str">
        <x:v>thinking
text</x:v>
      </x:c>
      <x:c r="Z69" s="11" t="n">
        <x:v>881</x:v>
      </x:c>
      <x:c r="AA69" s="11" t="n">
        <x:v>0</x:v>
      </x:c>
    </x:row>
    <x:row r="70" ht="149" customHeight="1">
      <x:c r="A70" s="2" t="str">
        <x:v>scikit-learn__scikit-learn-10949</x:v>
      </x:c>
      <x:c r="B70" s="2" t="str">
        <x:v>scikit-learn/scikit-learn</x:v>
      </x:c>
      <x:c r="C70" s="2" t="str">
        <x:v>unresolved</x:v>
      </x:c>
      <x:c r="D70" s="2" t="str">
        <x:v>补丁目标测试未通过</x:v>
      </x:c>
      <x:c r="E70" s="10" t="str">
        <x:v>DataFrame dtype转换警告已发出，但文本为Data with input dtype object was converted to float64.，正式要求were all converted to float64.；目标F2P因此失败。原始输出的pytest.raises(message=...)兼容错误不能解释这个计分目标。</x:v>
      </x:c>
      <x:c r="F70" s="10" t="str">
        <x:v>补齐DataFrame多列转换警告的具体文本和混合dtype处理。</x:v>
      </x:c>
      <x:c r="G70" s="2" t="str">
        <x:v>通过</x:v>
      </x:c>
      <x:c r="H70" s="2" t="str">
        <x:v>completed</x:v>
      </x:c>
      <x:c r="I70" s="11" t="n">
        <x:v>1</x:v>
      </x:c>
      <x:c r="J70" s="11" t="n">
        <x:v>1</x:v>
      </x:c>
      <x:c r="K70" s="11" t="str">
        <x:v>unresolved</x:v>
      </x:c>
      <x:c r="L70" s="11" t="n">
        <x:v>0</x:v>
      </x:c>
      <x:c r="M70" s="11" t="n">
        <x:v>1</x:v>
      </x:c>
      <x:c r="N70" s="11" t="n">
        <x:v>42</x:v>
      </x:c>
      <x:c r="O70" s="11" t="n">
        <x:v>0</x:v>
      </x:c>
      <x:c r="P70" s="11" t="n">
        <x:v>212642</x:v>
      </x:c>
      <x:c r="Q70" s="11" t="n">
        <x:v>212642</x:v>
      </x:c>
      <x:c r="R70" s="11" t="n">
        <x:v>21</x:v>
      </x:c>
      <x:c r="S70" s="11" t="n">
        <x:v>21</x:v>
      </x:c>
      <x:c r="T70" s="11" t="n">
        <x:v>21</x:v>
      </x:c>
      <x:c r="U70" s="12" t="n">
        <x:v>47.257</x:v>
      </x:c>
      <x:c r="V70" s="9" t="str">
        <x:v>sklearn/utils/validation.py</x:v>
      </x:c>
      <x:c r="W70" s="9" t="str">
        <x:v>sklearn/utils/tests/test_validation.py::test_check_dataframe_warns_on_dtype</x:v>
      </x:c>
      <x:c r="X70" s="9" t="str">
        <x:v>task_output-wsl/lite-baseline-001/instances/scikit-learn__scikit-learn-10949/attempt-0001/state.json
task_output-wsl/lite-baseline-001/instances/scikit-learn__scikit-learn-10949/attempt-0001/agent/run/result.json
task_output-wsl/lite-baseline-001/instances/scikit-learn__scikit-learn-10949/attempt-0001/agent/run/events.jsonl
task_output-wsl/lite-baseline-001/instances/scikit-learn__scikit-learn-10949/attempt-0001/agent-console.log
task_output-wsl/lite-baseline-001/instances/scikit-learn__scikit-learn-10949/attempt-0001/patch.json
task_output-wsl/lite-baseline-001/instances/scikit-learn__scikit-learn-10949/attempt-0001/grading/e7cc885690/logs/run_evaluation/akicode-559f352a5911-e7cc885690/akicode/scikit-learn__scikit-learn-10949/report.json
task_output-wsl/lite-baseline-001/instances/scikit-learn__scikit-learn-10949/attempt-0001/grading/e7cc885690/logs/run_evaluation/akicode-559f352a5911-e7cc885690/akicode/scikit-learn__scikit-learn-10949/test_output.txt
task_output-wsl/lite-baseline-001/instances/scikit-learn__scikit-learn-10949/attempt-0001/patch.diff</x:v>
      </x:c>
      <x:c r="Y70" s="2" t="str">
        <x:v>thinking
text</x:v>
      </x:c>
      <x:c r="Z70" s="11" t="n">
        <x:v>215</x:v>
      </x:c>
      <x:c r="AA70" s="11" t="n">
        <x:v>0</x:v>
      </x:c>
    </x:row>
    <x:row r="71" ht="149" customHeight="1">
      <x:c r="A71" s="2" t="str">
        <x:v>scikit-learn__scikit-learn-11040</x:v>
      </x:c>
      <x:c r="B71" s="2" t="str">
        <x:v>scikit-learn/scikit-learn</x:v>
      </x:c>
      <x:c r="C71" s="2" t="str">
        <x:v>unresolved</x:v>
      </x:c>
      <x:c r="D71" s="2" t="str">
        <x:v>补丁目标测试未通过</x:v>
      </x:c>
      <x:c r="E71" s="10" t="str">
        <x:v>n_neighbors负数的校验时机不符：正式测试要求Expected n_neighbors &gt; 0. Got -3，却先抛NotFittedError。</x:v>
      </x:c>
      <x:c r="F71" s="10" t="str">
        <x:v>把参数有效性检查放在符合API契约的执行顺序，覆盖未fit调用。</x:v>
      </x:c>
      <x:c r="G71" s="2" t="str">
        <x:v>通过</x:v>
      </x:c>
      <x:c r="H71" s="2" t="str">
        <x:v>completed</x:v>
      </x:c>
      <x:c r="I71" s="11" t="n">
        <x:v>1</x:v>
      </x:c>
      <x:c r="J71" s="11" t="n">
        <x:v>1</x:v>
      </x:c>
      <x:c r="K71" s="11" t="str">
        <x:v>unresolved</x:v>
      </x:c>
      <x:c r="L71" s="11" t="n">
        <x:v>0</x:v>
      </x:c>
      <x:c r="M71" s="11" t="n">
        <x:v>1</x:v>
      </x:c>
      <x:c r="N71" s="11" t="n">
        <x:v>44</x:v>
      </x:c>
      <x:c r="O71" s="11" t="n">
        <x:v>0</x:v>
      </x:c>
      <x:c r="P71" s="11" t="n">
        <x:v>367439</x:v>
      </x:c>
      <x:c r="Q71" s="11" t="n">
        <x:v>367439</x:v>
      </x:c>
      <x:c r="R71" s="11" t="n">
        <x:v>37</x:v>
      </x:c>
      <x:c r="S71" s="11" t="n">
        <x:v>37</x:v>
      </x:c>
      <x:c r="T71" s="11" t="n">
        <x:v>35</x:v>
      </x:c>
      <x:c r="U71" s="12" t="n">
        <x:v>139.709</x:v>
      </x:c>
      <x:c r="V71" s="9" t="str">
        <x:v>sklearn/neighbors/base.py</x:v>
      </x:c>
      <x:c r="W71" s="9" t="str">
        <x:v>sklearn/neighbors/tests/test_neighbors.py::test_n_neighbors_datatype</x:v>
      </x:c>
      <x:c r="X71" s="9" t="str">
        <x:v>task_output-wsl/lite-baseline-001/instances/scikit-learn__scikit-learn-11040/attempt-0001/state.json
task_output-wsl/lite-baseline-001/instances/scikit-learn__scikit-learn-11040/attempt-0001/agent/run/result.json
task_output-wsl/lite-baseline-001/instances/scikit-learn__scikit-learn-11040/attempt-0001/agent/run/events.jsonl
task_output-wsl/lite-baseline-001/instances/scikit-learn__scikit-learn-11040/attempt-0001/agent-console.log
task_output-wsl/lite-baseline-001/instances/scikit-learn__scikit-learn-11040/attempt-0001/patch.json
task_output-wsl/lite-baseline-001/instances/scikit-learn__scikit-learn-11040/attempt-0001/grading/6671e98fc7/logs/run_evaluation/akicode-559f352a5911-6671e98fc7/akicode/scikit-learn__scikit-learn-11040/report.json
task_output-wsl/lite-baseline-001/instances/scikit-learn__scikit-learn-11040/attempt-0001/grading/6671e98fc7/logs/run_evaluation/akicode-559f352a5911-6671e98fc7/akicode/scikit-learn__scikit-learn-11040/test_output.txt
task_output-wsl/lite-baseline-001/instances/scikit-learn__scikit-learn-11040/attempt-0001/patch.diff</x:v>
      </x:c>
      <x:c r="Y71" s="2" t="str">
        <x:v>thinking
text</x:v>
      </x:c>
      <x:c r="Z71" s="11" t="n">
        <x:v>179</x:v>
      </x:c>
      <x:c r="AA71" s="11" t="n">
        <x:v>0</x:v>
      </x:c>
    </x:row>
    <x:row r="72" ht="149" customHeight="1">
      <x:c r="A72" s="2" t="str">
        <x:v>sphinx-doc__sphinx-10451</x:v>
      </x:c>
      <x:c r="B72" s="2" t="str">
        <x:v>sphinx-doc/sphinx</x:v>
      </x:c>
      <x:c r="C72" s="2" t="str">
        <x:v>unresolved</x:v>
      </x:c>
      <x:c r="D72" s="2" t="str">
        <x:v>补丁回归测试未通过</x:v>
      </x:c>
      <x:c r="E72" s="10" t="str">
        <x:v>2个F2P均通过，但P2P autodoc documented __init__输出中*args/**kwargs的星号和加粗表示不符；已达60轮上限。</x:v>
      </x:c>
      <x:c r="F72" s="10" t="str">
        <x:v>统一已写文档参数和类型提示参数的匹配，保留可变参数星号。</x:v>
      </x:c>
      <x:c r="G72" s="2" t="str">
        <x:v>通过</x:v>
      </x:c>
      <x:c r="H72" s="2" t="str">
        <x:v>limit</x:v>
      </x:c>
      <x:c r="I72" s="11" t="n">
        <x:v>1</x:v>
      </x:c>
      <x:c r="J72" s="11" t="n">
        <x:v>1</x:v>
      </x:c>
      <x:c r="K72" s="11" t="str">
        <x:v>unresolved</x:v>
      </x:c>
      <x:c r="L72" s="11" t="n">
        <x:v>2</x:v>
      </x:c>
      <x:c r="M72" s="11" t="n">
        <x:v>0</x:v>
      </x:c>
      <x:c r="N72" s="11" t="n">
        <x:v>79</x:v>
      </x:c>
      <x:c r="O72" s="11" t="n">
        <x:v>1</x:v>
      </x:c>
      <x:c r="P72" s="11" t="n">
        <x:v>710747</x:v>
      </x:c>
      <x:c r="Q72" s="11" t="n">
        <x:v>710747</x:v>
      </x:c>
      <x:c r="R72" s="11" t="n">
        <x:v>62</x:v>
      </x:c>
      <x:c r="S72" s="11" t="n">
        <x:v>62</x:v>
      </x:c>
      <x:c r="T72" s="11" t="n">
        <x:v>60</x:v>
      </x:c>
      <x:c r="U72" s="12" t="n">
        <x:v>168.315</x:v>
      </x:c>
      <x:c r="V72" s="9" t="str">
        <x:v>sphinx/ext/autodoc/typehints.py</x:v>
      </x:c>
      <x:c r="W72" s="9" t="str">
        <x:v>tests/test_ext_autodoc_configs.py::test_autodoc_typehints_description_with_documented_init</x:v>
      </x:c>
      <x:c r="X72" s="9" t="str">
        <x:v>task_output-wsl/lite-baseline-001/instances/sphinx-doc__sphinx-10451/attempt-0001/state.json
task_output-wsl/lite-baseline-001/instances/sphinx-doc__sphinx-10451/attempt-0001/agent/run/result.json
task_output-wsl/lite-baseline-001/instances/sphinx-doc__sphinx-10451/attempt-0001/agent/run/events.jsonl
task_output-wsl/lite-baseline-001/instances/sphinx-doc__sphinx-10451/attempt-0001/agent-console.log
task_output-wsl/lite-baseline-001/instances/sphinx-doc__sphinx-10451/attempt-0001/patch.json
task_output-wsl/lite-baseline-001/instances/sphinx-doc__sphinx-10451/attempt-0001/grading/58cd65cabf/logs/run_evaluation/akicode-559f352a5911-58cd65cabf/akicode/sphinx-doc__sphinx-10451/report.json
task_output-wsl/lite-baseline-001/instances/sphinx-doc__sphinx-10451/attempt-0001/grading/58cd65cabf/logs/run_evaluation/akicode-559f352a5911-58cd65cabf/akicode/sphinx-doc__sphinx-10451/test_output.txt
task_output-wsl/lite-baseline-001/instances/sphinx-doc__sphinx-10451/attempt-0001/patch.diff</x:v>
      </x:c>
      <x:c r="Y72" s="2" t="str">
        <x:v>thinking
tool_use</x:v>
      </x:c>
      <x:c r="Z72" s="11" t="n">
        <x:v>484</x:v>
      </x:c>
      <x:c r="AA72" s="11" t="n">
        <x:v>0</x:v>
      </x:c>
    </x:row>
    <x:row r="73" ht="149" customHeight="1">
      <x:c r="A73" s="2" t="str">
        <x:v>sphinx-doc__sphinx-8273</x:v>
      </x:c>
      <x:c r="B73" s="2" t="str">
        <x:v>sphinx-doc/sphinx</x:v>
      </x:c>
      <x:c r="C73" s="2" t="str">
        <x:v>unresolved</x:v>
      </x:c>
      <x:c r="D73" s="2" t="str">
        <x:v>补丁目标测试未通过</x:v>
      </x:c>
      <x:c r="E73" s="10" t="str">
        <x:v>man_make_section_directory已实现，但补丁把页面放入man1/python.1；正式测试要求1/python.1，目录命名规格不一致。</x:v>
      </x:c>
      <x:c r="F73" s="10" t="str">
        <x:v>使用正式预期的数字节目录布局，并核对配置说明。</x:v>
      </x:c>
      <x:c r="G73" s="2" t="str">
        <x:v>通过</x:v>
      </x:c>
      <x:c r="H73" s="2" t="str">
        <x:v>completed</x:v>
      </x:c>
      <x:c r="I73" s="11" t="n">
        <x:v>1</x:v>
      </x:c>
      <x:c r="J73" s="11" t="n">
        <x:v>1</x:v>
      </x:c>
      <x:c r="K73" s="11" t="str">
        <x:v>unresolved</x:v>
      </x:c>
      <x:c r="L73" s="11" t="n">
        <x:v>0</x:v>
      </x:c>
      <x:c r="M73" s="11" t="n">
        <x:v>1</x:v>
      </x:c>
      <x:c r="N73" s="11" t="n">
        <x:v>3</x:v>
      </x:c>
      <x:c r="O73" s="11" t="n">
        <x:v>0</x:v>
      </x:c>
      <x:c r="P73" s="11" t="n">
        <x:v>244488</x:v>
      </x:c>
      <x:c r="Q73" s="11" t="n">
        <x:v>244488</x:v>
      </x:c>
      <x:c r="R73" s="11" t="n">
        <x:v>24</x:v>
      </x:c>
      <x:c r="S73" s="11" t="n">
        <x:v>24</x:v>
      </x:c>
      <x:c r="T73" s="11" t="n">
        <x:v>23</x:v>
      </x:c>
      <x:c r="U73" s="12" t="n">
        <x:v>62.727</x:v>
      </x:c>
      <x:c r="V73" s="9" t="str">
        <x:v>CHANGES
doc/usage/configuration.rst
sphinx/builders/manpage.py</x:v>
      </x:c>
      <x:c r="W73" s="9" t="str">
        <x:v>tests/test_build_manpage.py::test_man_make_section_directory</x:v>
      </x:c>
      <x:c r="X73" s="9" t="str">
        <x:v>task_output-wsl/lite-baseline-001/instances/sphinx-doc__sphinx-8273/attempt-0001/state.json
task_output-wsl/lite-baseline-001/instances/sphinx-doc__sphinx-8273/attempt-0001/agent/run/result.json
task_output-wsl/lite-baseline-001/instances/sphinx-doc__sphinx-8273/attempt-0001/agent/run/events.jsonl
task_output-wsl/lite-baseline-001/instances/sphinx-doc__sphinx-8273/attempt-0001/agent-console.log
task_output-wsl/lite-baseline-001/instances/sphinx-doc__sphinx-8273/attempt-0001/patch.json
task_output-wsl/lite-baseline-001/instances/sphinx-doc__sphinx-8273/attempt-0001/grading/575b7054c5/logs/run_evaluation/akicode-559f352a5911-575b7054c5/akicode/sphinx-doc__sphinx-8273/report.json
task_output-wsl/lite-baseline-001/instances/sphinx-doc__sphinx-8273/attempt-0001/grading/575b7054c5/logs/run_evaluation/akicode-559f352a5911-575b7054c5/akicode/sphinx-doc__sphinx-8273/test_output.txt
task_output-wsl/lite-baseline-001/instances/sphinx-doc__sphinx-8273/attempt-0001/patch.diff</x:v>
      </x:c>
      <x:c r="Y73" s="2" t="str">
        <x:v>thinking
text</x:v>
      </x:c>
      <x:c r="Z73" s="11" t="n">
        <x:v>347</x:v>
      </x:c>
      <x:c r="AA73" s="11" t="n">
        <x:v>0</x:v>
      </x:c>
    </x:row>
    <x:row r="74" ht="149" customHeight="1">
      <x:c r="A74" s="2" t="str">
        <x:v>sphinx-doc__sphinx-8282</x:v>
      </x:c>
      <x:c r="B74" s="2" t="str">
        <x:v>sphinx-doc/sphinx</x:v>
      </x:c>
      <x:c r="C74" s="2" t="str">
        <x:v>unresolved</x:v>
      </x:c>
      <x:c r="D74" s="2" t="str">
        <x:v>补丁目标测试未通过</x:v>
      </x:c>
      <x:c r="E74" s="10" t="str">
        <x:v>关闭typehints后重载签名展示仍不符：正式输出在Bar(x,y)处出现额外行，要求对应module行；test_autodoc_typehints_none_for_overload失败。</x:v>
      </x:c>
      <x:c r="F74" s="10" t="str">
        <x:v>同时处理重载函数、方法和类签名，确认关闭类型提示后的行数与签名选择。</x:v>
      </x:c>
      <x:c r="G74" s="2" t="str">
        <x:v>通过</x:v>
      </x:c>
      <x:c r="H74" s="2" t="str">
        <x:v>completed</x:v>
      </x:c>
      <x:c r="I74" s="11" t="n">
        <x:v>1</x:v>
      </x:c>
      <x:c r="J74" s="11" t="n">
        <x:v>1</x:v>
      </x:c>
      <x:c r="K74" s="11" t="str">
        <x:v>unresolved</x:v>
      </x:c>
      <x:c r="L74" s="11" t="n">
        <x:v>0</x:v>
      </x:c>
      <x:c r="M74" s="11" t="n">
        <x:v>1</x:v>
      </x:c>
      <x:c r="N74" s="11" t="n">
        <x:v>16</x:v>
      </x:c>
      <x:c r="O74" s="11" t="n">
        <x:v>0</x:v>
      </x:c>
      <x:c r="P74" s="11" t="n">
        <x:v>634218</x:v>
      </x:c>
      <x:c r="Q74" s="11" t="n">
        <x:v>634218</x:v>
      </x:c>
      <x:c r="R74" s="11" t="n">
        <x:v>56</x:v>
      </x:c>
      <x:c r="S74" s="11" t="n">
        <x:v>56</x:v>
      </x:c>
      <x:c r="T74" s="11" t="n">
        <x:v>55</x:v>
      </x:c>
      <x:c r="U74" s="12" t="n">
        <x:v>109.861</x:v>
      </x:c>
      <x:c r="V74" s="9" t="str">
        <x:v>sphinx/ext/autodoc/__init__.py</x:v>
      </x:c>
      <x:c r="W74" s="9" t="str">
        <x:v>tests/test_ext_autodoc_configs.py::test_autodoc_typehints_none_for_overload</x:v>
      </x:c>
      <x:c r="X74" s="9" t="str">
        <x:v>task_output-wsl/lite-baseline-001/instances/sphinx-doc__sphinx-8282/attempt-0001/state.json
task_output-wsl/lite-baseline-001/instances/sphinx-doc__sphinx-8282/attempt-0001/agent/run/result.json
task_output-wsl/lite-baseline-001/instances/sphinx-doc__sphinx-8282/attempt-0001/agent/run/events.jsonl
task_output-wsl/lite-baseline-001/instances/sphinx-doc__sphinx-8282/attempt-0001/agent-console.log
task_output-wsl/lite-baseline-001/instances/sphinx-doc__sphinx-8282/attempt-0001/patch.json
task_output-wsl/lite-baseline-001/instances/sphinx-doc__sphinx-8282/attempt-0001/grading/80a0747b29/logs/run_evaluation/akicode-559f352a5911-80a0747b29/akicode/sphinx-doc__sphinx-8282/report.json
task_output-wsl/lite-baseline-001/instances/sphinx-doc__sphinx-8282/attempt-0001/grading/80a0747b29/logs/run_evaluation/akicode-559f352a5911-80a0747b29/akicode/sphinx-doc__sphinx-8282/test_output.txt
task_output-wsl/lite-baseline-001/instances/sphinx-doc__sphinx-8282/attempt-0001/patch.diff</x:v>
      </x:c>
      <x:c r="Y74" s="2" t="str">
        <x:v>thinking
text</x:v>
      </x:c>
      <x:c r="Z74" s="11" t="n">
        <x:v>416</x:v>
      </x:c>
      <x:c r="AA74" s="11" t="n">
        <x:v>0</x:v>
      </x:c>
    </x:row>
    <x:row r="75" ht="149" customHeight="1">
      <x:c r="A75" s="2" t="str">
        <x:v>sphinx-doc__sphinx-8506</x:v>
      </x:c>
      <x:c r="B75" s="2" t="str">
        <x:v>sphinx-doc/sphinx</x:v>
      </x:c>
      <x:c r="C75" s="2" t="str">
        <x:v>unresolved</x:v>
      </x:c>
      <x:c r="D75" s="2" t="str">
        <x:v>补丁目标测试未通过</x:v>
      </x:c>
      <x:c r="E75" s="10" t="str">
        <x:v>带[开头的cmd option被当成整体名称[enable=]PATTERN，测试要求name为[enable并分离参数；末轮仅thinking且4096上限特征。 该运行末轮仅thinking且用满4096输出token，存在结束识别异常的额外证据。</x:v>
      </x:c>
      <x:c r="F75" s="10" t="str">
        <x:v>修正选项名称/参数拆分规则，覆盖括号形式并处理响应截断。</x:v>
      </x:c>
      <x:c r="G75" s="2" t="str">
        <x:v>通过</x:v>
      </x:c>
      <x:c r="H75" s="2" t="str">
        <x:v>completed</x:v>
      </x:c>
      <x:c r="I75" s="11" t="n">
        <x:v>1</x:v>
      </x:c>
      <x:c r="J75" s="11" t="n">
        <x:v>1</x:v>
      </x:c>
      <x:c r="K75" s="11" t="str">
        <x:v>unresolved</x:v>
      </x:c>
      <x:c r="L75" s="11" t="n">
        <x:v>0</x:v>
      </x:c>
      <x:c r="M75" s="11" t="n">
        <x:v>1</x:v>
      </x:c>
      <x:c r="N75" s="11" t="n">
        <x:v>14</x:v>
      </x:c>
      <x:c r="O75" s="11" t="n">
        <x:v>0</x:v>
      </x:c>
      <x:c r="P75" s="11" t="n">
        <x:v>594460</x:v>
      </x:c>
      <x:c r="Q75" s="11" t="n">
        <x:v>594460</x:v>
      </x:c>
      <x:c r="R75" s="11" t="n">
        <x:v>52</x:v>
      </x:c>
      <x:c r="S75" s="11" t="n">
        <x:v>52</x:v>
      </x:c>
      <x:c r="T75" s="11" t="n">
        <x:v>49</x:v>
      </x:c>
      <x:c r="U75" s="12" t="n">
        <x:v>218.135</x:v>
      </x:c>
      <x:c r="V75" s="9" t="str">
        <x:v>sphinx/domains/std.py</x:v>
      </x:c>
      <x:c r="W75" s="9" t="str">
        <x:v>tests/test_domain_std.py::test_cmd_option_starting_with_bracket</x:v>
      </x:c>
      <x:c r="X75" s="9" t="str">
        <x:v>task_output-wsl/lite-baseline-001/instances/sphinx-doc__sphinx-8506/attempt-0001/state.json
task_output-wsl/lite-baseline-001/instances/sphinx-doc__sphinx-8506/attempt-0001/agent/run/result.json
task_output-wsl/lite-baseline-001/instances/sphinx-doc__sphinx-8506/attempt-0001/agent/run/events.jsonl
task_output-wsl/lite-baseline-001/instances/sphinx-doc__sphinx-8506/attempt-0001/agent-console.log
task_output-wsl/lite-baseline-001/instances/sphinx-doc__sphinx-8506/attempt-0001/patch.json
task_output-wsl/lite-baseline-001/instances/sphinx-doc__sphinx-8506/attempt-0001/grading/18bbb4f110/logs/run_evaluation/akicode-559f352a5911-18bbb4f110/akicode/sphinx-doc__sphinx-8506/report.json
task_output-wsl/lite-baseline-001/instances/sphinx-doc__sphinx-8506/attempt-0001/grading/18bbb4f110/logs/run_evaluation/akicode-559f352a5911-18bbb4f110/akicode/sphinx-doc__sphinx-8506/test_output.txt
task_output-wsl/lite-baseline-001/instances/sphinx-doc__sphinx-8506/attempt-0001/patch.diff</x:v>
      </x:c>
      <x:c r="Y75" s="2" t="str">
        <x:v>thinking</x:v>
      </x:c>
      <x:c r="Z75" s="11" t="n">
        <x:v>4096</x:v>
      </x:c>
      <x:c r="AA75" s="11" t="n">
        <x:v>1</x:v>
      </x:c>
    </x:row>
    <x:row r="76" ht="149" customHeight="1">
      <x:c r="A76" s="2" t="str">
        <x:v>sympy__sympy-11400</x:v>
      </x:c>
      <x:c r="B76" s="2" t="str">
        <x:v>sympy/sympy</x:v>
      </x:c>
      <x:c r="C76" s="2" t="str">
        <x:v>unresolved</x:v>
      </x:c>
      <x:c r="D76" s="2" t="str">
        <x:v>补丁目标测试未通过</x:v>
      </x:c>
      <x:c r="E76" s="10" t="str">
        <x:v>ccode sinc与Relational两个目标均失败；补丁仅增加sinc的Piecewise改写，正式关系式与sinc代码输出仍不满足验收。最终示例中出现Ne(theta,0)而不是C关系运算表达。</x:v>
      </x:c>
      <x:c r="F76" s="10" t="str">
        <x:v>完善关系运算打印与Piecewise条件输出，按目标字符串验证。</x:v>
      </x:c>
      <x:c r="G76" s="2" t="str">
        <x:v>通过</x:v>
      </x:c>
      <x:c r="H76" s="2" t="str">
        <x:v>completed</x:v>
      </x:c>
      <x:c r="I76" s="11" t="n">
        <x:v>1</x:v>
      </x:c>
      <x:c r="J76" s="11" t="n">
        <x:v>1</x:v>
      </x:c>
      <x:c r="K76" s="11" t="str">
        <x:v>unresolved</x:v>
      </x:c>
      <x:c r="L76" s="11" t="n">
        <x:v>0</x:v>
      </x:c>
      <x:c r="M76" s="11" t="n">
        <x:v>2</x:v>
      </x:c>
      <x:c r="N76" s="11" t="n">
        <x:v>29</x:v>
      </x:c>
      <x:c r="O76" s="11" t="n">
        <x:v>0</x:v>
      </x:c>
      <x:c r="P76" s="11" t="n">
        <x:v>656407</x:v>
      </x:c>
      <x:c r="Q76" s="11" t="n">
        <x:v>656407</x:v>
      </x:c>
      <x:c r="R76" s="11" t="n">
        <x:v>58</x:v>
      </x:c>
      <x:c r="S76" s="11" t="n">
        <x:v>58</x:v>
      </x:c>
      <x:c r="T76" s="11" t="n">
        <x:v>55</x:v>
      </x:c>
      <x:c r="U76" s="12" t="n">
        <x:v>179.346</x:v>
      </x:c>
      <x:c r="V76" s="9" t="str">
        <x:v>sympy/printing/codeprinter.py</x:v>
      </x:c>
      <x:c r="W76" s="9" t="str">
        <x:v>test_ccode_Relational
test_ccode_sinc</x:v>
      </x:c>
      <x:c r="X76" s="9" t="str">
        <x:v>task_output-wsl/lite-baseline-001/instances/sympy__sympy-11400/attempt-0001/state.json
task_output-wsl/lite-baseline-001/instances/sympy__sympy-11400/attempt-0001/agent/run/result.json
task_output-wsl/lite-baseline-001/instances/sympy__sympy-11400/attempt-0001/agent/run/events.jsonl
task_output-wsl/lite-baseline-001/instances/sympy__sympy-11400/attempt-0001/agent-console.log
task_output-wsl/lite-baseline-001/instances/sympy__sympy-11400/attempt-0001/patch.json
task_output-wsl/lite-baseline-001/instances/sympy__sympy-11400/attempt-0001/grading/63ad5d4672/logs/run_evaluation/akicode-559f352a5911-63ad5d4672/akicode/sympy__sympy-11400/report.json
task_output-wsl/lite-baseline-001/instances/sympy__sympy-11400/attempt-0001/grading/63ad5d4672/logs/run_evaluation/akicode-559f352a5911-63ad5d4672/akicode/sympy__sympy-11400/test_output.txt
task_output-wsl/lite-baseline-001/instances/sympy__sympy-11400/attempt-0001/patch.diff</x:v>
      </x:c>
      <x:c r="Y76" s="2" t="str">
        <x:v>thinking
text</x:v>
      </x:c>
      <x:c r="Z76" s="11" t="n">
        <x:v>334</x:v>
      </x:c>
      <x:c r="AA76" s="11" t="n">
        <x:v>0</x:v>
      </x:c>
    </x:row>
    <x:row r="77" ht="149" customHeight="1">
      <x:c r="A77" s="2" t="str">
        <x:v>sympy__sympy-12171</x:v>
      </x:c>
      <x:c r="B77" s="2" t="str">
        <x:v>sympy/sympy</x:v>
      </x:c>
      <x:c r="C77" s="2" t="str">
        <x:v>unresolved</x:v>
      </x:c>
      <x:c r="D77" s="2" t="str">
        <x:v>补丁同时未修复目标且破坏回归</x:v>
      </x:c>
      <x:c r="E77" s="10" t="str">
        <x:v>Mathematica Derivative目标要求Hold[D[Sin[x], x]]，补丁仅输出D[...]；另有P2P test_Pow失败。末轮仅thinking且4096上限特征。 该运行末轮仅thinking且用满4096输出token，存在结束识别异常的额外证据。</x:v>
      </x:c>
      <x:c r="F77" s="10" t="str">
        <x:v>补齐Hold与浮点/幂打印语义，验证F2P和P2P后再结束。</x:v>
      </x:c>
      <x:c r="G77" s="2" t="str">
        <x:v>通过</x:v>
      </x:c>
      <x:c r="H77" s="2" t="str">
        <x:v>completed</x:v>
      </x:c>
      <x:c r="I77" s="11" t="n">
        <x:v>1</x:v>
      </x:c>
      <x:c r="J77" s="11" t="n">
        <x:v>1</x:v>
      </x:c>
      <x:c r="K77" s="11" t="str">
        <x:v>unresolved</x:v>
      </x:c>
      <x:c r="L77" s="11" t="n">
        <x:v>0</x:v>
      </x:c>
      <x:c r="M77" s="11" t="n">
        <x:v>1</x:v>
      </x:c>
      <x:c r="N77" s="11" t="n">
        <x:v>7</x:v>
      </x:c>
      <x:c r="O77" s="11" t="n">
        <x:v>1</x:v>
      </x:c>
      <x:c r="P77" s="11" t="n">
        <x:v>595888</x:v>
      </x:c>
      <x:c r="Q77" s="11" t="n">
        <x:v>595888</x:v>
      </x:c>
      <x:c r="R77" s="11" t="n">
        <x:v>52</x:v>
      </x:c>
      <x:c r="S77" s="11" t="n">
        <x:v>52</x:v>
      </x:c>
      <x:c r="T77" s="11" t="n">
        <x:v>50</x:v>
      </x:c>
      <x:c r="U77" s="12" t="n">
        <x:v>194.741</x:v>
      </x:c>
      <x:c r="V77" s="9" t="str">
        <x:v>sympy/printing/mathematica.py</x:v>
      </x:c>
      <x:c r="W77" s="9" t="str">
        <x:v>test_Derivative
test_Pow</x:v>
      </x:c>
      <x:c r="X77" s="9" t="str">
        <x:v>task_output-wsl/lite-baseline-001/instances/sympy__sympy-12171/attempt-0001/state.json
task_output-wsl/lite-baseline-001/instances/sympy__sympy-12171/attempt-0001/agent/run/result.json
task_output-wsl/lite-baseline-001/instances/sympy__sympy-12171/attempt-0001/agent/run/events.jsonl
task_output-wsl/lite-baseline-001/instances/sympy__sympy-12171/attempt-0001/agent-console.log
task_output-wsl/lite-baseline-001/instances/sympy__sympy-12171/attempt-0001/patch.json
task_output-wsl/lite-baseline-001/instances/sympy__sympy-12171/attempt-0001/grading/0a6152bb91/logs/run_evaluation/akicode-559f352a5911-0a6152bb91/akicode/sympy__sympy-12171/report.json
task_output-wsl/lite-baseline-001/instances/sympy__sympy-12171/attempt-0001/grading/0a6152bb91/logs/run_evaluation/akicode-559f352a5911-0a6152bb91/akicode/sympy__sympy-12171/test_output.txt
task_output-wsl/lite-baseline-001/instances/sympy__sympy-12171/attempt-0001/patch.diff</x:v>
      </x:c>
      <x:c r="Y77" s="2" t="str">
        <x:v>thinking</x:v>
      </x:c>
      <x:c r="Z77" s="11" t="n">
        <x:v>4096</x:v>
      </x:c>
      <x:c r="AA77" s="11" t="n">
        <x:v>1</x:v>
      </x:c>
    </x:row>
    <x:row r="78" ht="149" customHeight="1">
      <x:c r="A78" s="2" t="str">
        <x:v>sympy__sympy-13043</x:v>
      </x:c>
      <x:c r="B78" s="2" t="str">
        <x:v>sympy/sympy</x:v>
      </x:c>
      <x:c r="C78" s="2" t="str">
        <x:v>unresolved</x:v>
      </x:c>
      <x:c r="D78" s="2" t="str">
        <x:v>补丁目标测试未通过</x:v>
      </x:c>
      <x:c r="E78" s="10" t="str">
        <x:v>decompose(separate=True)选择返回排序list，但正式test_decompose要求set，最简单decompose(x,True)=={x}即失败。issue允许多种方向，agent选择与实际验收不一致。</x:v>
      </x:c>
      <x:c r="F78" s="10" t="str">
        <x:v>按正式容器契约返回无序集合，并检查全部分支的一致性。</x:v>
      </x:c>
      <x:c r="G78" s="2" t="str">
        <x:v>通过</x:v>
      </x:c>
      <x:c r="H78" s="2" t="str">
        <x:v>completed</x:v>
      </x:c>
      <x:c r="I78" s="11" t="n">
        <x:v>1</x:v>
      </x:c>
      <x:c r="J78" s="11" t="n">
        <x:v>1</x:v>
      </x:c>
      <x:c r="K78" s="11" t="str">
        <x:v>unresolved</x:v>
      </x:c>
      <x:c r="L78" s="11" t="n">
        <x:v>0</x:v>
      </x:c>
      <x:c r="M78" s="11" t="n">
        <x:v>1</x:v>
      </x:c>
      <x:c r="N78" s="11" t="n">
        <x:v>1</x:v>
      </x:c>
      <x:c r="O78" s="11" t="n">
        <x:v>0</x:v>
      </x:c>
      <x:c r="P78" s="11" t="n">
        <x:v>470107</x:v>
      </x:c>
      <x:c r="Q78" s="11" t="n">
        <x:v>470107</x:v>
      </x:c>
      <x:c r="R78" s="11" t="n">
        <x:v>43</x:v>
      </x:c>
      <x:c r="S78" s="11" t="n">
        <x:v>43</x:v>
      </x:c>
      <x:c r="T78" s="11" t="n">
        <x:v>40</x:v>
      </x:c>
      <x:c r="U78" s="12" t="n">
        <x:v>203.791</x:v>
      </x:c>
      <x:c r="V78" s="9" t="str">
        <x:v>sympy/integrals/intpoly.py</x:v>
      </x:c>
      <x:c r="W78" s="9" t="str">
        <x:v>test_decompose</x:v>
      </x:c>
      <x:c r="X78" s="9" t="str">
        <x:v>task_output-wsl/lite-baseline-001/instances/sympy__sympy-13043/attempt-0001/state.json
task_output-wsl/lite-baseline-001/instances/sympy__sympy-13043/attempt-0001/agent/run/result.json
task_output-wsl/lite-baseline-001/instances/sympy__sympy-13043/attempt-0001/agent/run/events.jsonl
task_output-wsl/lite-baseline-001/instances/sympy__sympy-13043/attempt-0001/agent-console.log
task_output-wsl/lite-baseline-001/instances/sympy__sympy-13043/attempt-0001/patch.json
task_output-wsl/lite-baseline-001/instances/sympy__sympy-13043/attempt-0001/grading/bf1054409e/logs/run_evaluation/akicode-559f352a5911-bf1054409e/akicode/sympy__sympy-13043/report.json
task_output-wsl/lite-baseline-001/instances/sympy__sympy-13043/attempt-0001/grading/bf1054409e/logs/run_evaluation/akicode-559f352a5911-bf1054409e/akicode/sympy__sympy-13043/test_output.txt
task_output-wsl/lite-baseline-001/instances/sympy__sympy-13043/attempt-0001/patch.diff</x:v>
      </x:c>
      <x:c r="Y78" s="2" t="str">
        <x:v>thinking
text</x:v>
      </x:c>
      <x:c r="Z78" s="11" t="n">
        <x:v>729</x:v>
      </x:c>
      <x:c r="AA78" s="11" t="n">
        <x:v>0</x:v>
      </x:c>
    </x:row>
    <x:row r="79" ht="149" customHeight="1">
      <x:c r="A79" s="2" t="str">
        <x:v>sympy__sympy-13177</x:v>
      </x:c>
      <x:c r="B79" s="2" t="str">
        <x:v>sympy/sympy</x:v>
      </x:c>
      <x:c r="C79" s="2" t="str">
        <x:v>unresolved</x:v>
      </x:c>
      <x:c r="D79" s="2" t="str">
        <x:v>补丁目标测试未通过</x:v>
      </x:c>
      <x:c r="E79" s="10" t="str">
        <x:v>Mod修复条件过窄：加入base.is_integer限制后，正式test_mod里的Mod(l**p,l)==0仍失败；60轮上限。</x:v>
      </x:c>
      <x:c r="F79" s="10" t="str">
        <x:v>按符号假设、幂指数和模数关系细化化简规则。</x:v>
      </x:c>
      <x:c r="G79" s="2" t="str">
        <x:v>通过</x:v>
      </x:c>
      <x:c r="H79" s="2" t="str">
        <x:v>limit</x:v>
      </x:c>
      <x:c r="I79" s="11" t="n">
        <x:v>1</x:v>
      </x:c>
      <x:c r="J79" s="11" t="n">
        <x:v>1</x:v>
      </x:c>
      <x:c r="K79" s="11" t="str">
        <x:v>unresolved</x:v>
      </x:c>
      <x:c r="L79" s="11" t="n">
        <x:v>0</x:v>
      </x:c>
      <x:c r="M79" s="11" t="n">
        <x:v>1</x:v>
      </x:c>
      <x:c r="N79" s="11" t="n">
        <x:v>75</x:v>
      </x:c>
      <x:c r="O79" s="11" t="n">
        <x:v>0</x:v>
      </x:c>
      <x:c r="P79" s="11" t="n">
        <x:v>714962</x:v>
      </x:c>
      <x:c r="Q79" s="11" t="n">
        <x:v>714962</x:v>
      </x:c>
      <x:c r="R79" s="11" t="n">
        <x:v>62</x:v>
      </x:c>
      <x:c r="S79" s="11" t="n">
        <x:v>62</x:v>
      </x:c>
      <x:c r="T79" s="11" t="n">
        <x:v>60</x:v>
      </x:c>
      <x:c r="U79" s="12" t="n">
        <x:v>172.541</x:v>
      </x:c>
      <x:c r="V79" s="9" t="str">
        <x:v>sympy/core/mod.py</x:v>
      </x:c>
      <x:c r="W79" s="9" t="str">
        <x:v>test_mod</x:v>
      </x:c>
      <x:c r="X79" s="9" t="str">
        <x:v>task_output-wsl/lite-baseline-001/instances/sympy__sympy-13177/attempt-0001/state.json
task_output-wsl/lite-baseline-001/instances/sympy__sympy-13177/attempt-0001/agent/run/result.json
task_output-wsl/lite-baseline-001/instances/sympy__sympy-13177/attempt-0001/agent/run/events.jsonl
task_output-wsl/lite-baseline-001/instances/sympy__sympy-13177/attempt-0001/agent-console.log
task_output-wsl/lite-baseline-001/instances/sympy__sympy-13177/attempt-0001/patch.json
task_output-wsl/lite-baseline-001/instances/sympy__sympy-13177/attempt-0001/grading/ae07d8d3bb/logs/run_evaluation/akicode-559f352a5911-ae07d8d3bb/akicode/sympy__sympy-13177/report.json
task_output-wsl/lite-baseline-001/instances/sympy__sympy-13177/attempt-0001/grading/ae07d8d3bb/logs/run_evaluation/akicode-559f352a5911-ae07d8d3bb/akicode/sympy__sympy-13177/test_output.txt
task_output-wsl/lite-baseline-001/instances/sympy__sympy-13177/attempt-0001/patch.diff</x:v>
      </x:c>
      <x:c r="Y79" s="2" t="str">
        <x:v>thinking
tool_use</x:v>
      </x:c>
      <x:c r="Z79" s="11" t="n">
        <x:v>90</x:v>
      </x:c>
      <x:c r="AA79" s="11" t="n">
        <x:v>0</x:v>
      </x:c>
    </x:row>
    <x:row r="80" ht="149" customHeight="1">
      <x:c r="A80" s="2" t="str">
        <x:v>sympy__sympy-13437</x:v>
      </x:c>
      <x:c r="B80" s="2" t="str">
        <x:v>sympy/sympy</x:v>
      </x:c>
      <x:c r="C80" s="2" t="str">
        <x:v>unresolved</x:v>
      </x:c>
      <x:c r="D80" s="2" t="str">
        <x:v>补丁目标测试未通过</x:v>
      </x:c>
      <x:c r="E80" s="10" t="str">
        <x:v>bell(oo)直接返回oo的处理扩大到多参数形式；正式测试要求bell(oo,x)抛ValueError，而实际未抛。</x:v>
      </x:c>
      <x:c r="F80" s="10" t="str">
        <x:v>把无限指标的特例限定到合法参数形式，保留Bell多项式异常契约。</x:v>
      </x:c>
      <x:c r="G80" s="2" t="str">
        <x:v>通过</x:v>
      </x:c>
      <x:c r="H80" s="2" t="str">
        <x:v>completed</x:v>
      </x:c>
      <x:c r="I80" s="11" t="n">
        <x:v>1</x:v>
      </x:c>
      <x:c r="J80" s="11" t="n">
        <x:v>1</x:v>
      </x:c>
      <x:c r="K80" s="11" t="str">
        <x:v>unresolved</x:v>
      </x:c>
      <x:c r="L80" s="11" t="n">
        <x:v>0</x:v>
      </x:c>
      <x:c r="M80" s="11" t="n">
        <x:v>1</x:v>
      </x:c>
      <x:c r="N80" s="11" t="n">
        <x:v>15</x:v>
      </x:c>
      <x:c r="O80" s="11" t="n">
        <x:v>0</x:v>
      </x:c>
      <x:c r="P80" s="11" t="n">
        <x:v>71878</x:v>
      </x:c>
      <x:c r="Q80" s="11" t="n">
        <x:v>71878</x:v>
      </x:c>
      <x:c r="R80" s="11" t="n">
        <x:v>9</x:v>
      </x:c>
      <x:c r="S80" s="11" t="n">
        <x:v>9</x:v>
      </x:c>
      <x:c r="T80" s="11" t="n">
        <x:v>9</x:v>
      </x:c>
      <x:c r="U80" s="12" t="n">
        <x:v>19.477</x:v>
      </x:c>
      <x:c r="V80" s="9" t="str">
        <x:v>sympy/functions/combinatorial/numbers.py</x:v>
      </x:c>
      <x:c r="W80" s="9" t="str">
        <x:v>test_bell</x:v>
      </x:c>
      <x:c r="X80" s="9" t="str">
        <x:v>task_output-wsl/lite-baseline-001/instances/sympy__sympy-13437/attempt-0001/state.json
task_output-wsl/lite-baseline-001/instances/sympy__sympy-13437/attempt-0001/agent/run/result.json
task_output-wsl/lite-baseline-001/instances/sympy__sympy-13437/attempt-0001/agent/run/events.jsonl
task_output-wsl/lite-baseline-001/instances/sympy__sympy-13437/attempt-0001/agent-console.log
task_output-wsl/lite-baseline-001/instances/sympy__sympy-13437/attempt-0001/patch.json
task_output-wsl/lite-baseline-001/instances/sympy__sympy-13437/attempt-0001/grading/27f68fc451/logs/run_evaluation/akicode-559f352a5911-27f68fc451/akicode/sympy__sympy-13437/report.json
task_output-wsl/lite-baseline-001/instances/sympy__sympy-13437/attempt-0001/grading/27f68fc451/logs/run_evaluation/akicode-559f352a5911-27f68fc451/akicode/sympy__sympy-13437/test_output.txt
task_output-wsl/lite-baseline-001/instances/sympy__sympy-13437/attempt-0001/patch.diff</x:v>
      </x:c>
      <x:c r="Y80" s="2" t="str">
        <x:v>thinking
text</x:v>
      </x:c>
      <x:c r="Z80" s="11" t="n">
        <x:v>140</x:v>
      </x:c>
      <x:c r="AA80" s="11" t="n">
        <x:v>0</x:v>
      </x:c>
    </x:row>
    <x:row r="81" ht="149" customHeight="1">
      <x:c r="A81" s="2" t="str">
        <x:v>sympy__sympy-13773</x:v>
      </x:c>
      <x:c r="B81" s="2" t="str">
        <x:v>sympy/sympy</x:v>
      </x:c>
      <x:c r="C81" s="2" t="str">
        <x:v>unresolved</x:v>
      </x:c>
      <x:c r="D81" s="2" t="str">
        <x:v>补丁目标测试未通过</x:v>
      </x:c>
      <x:c r="E81" s="10" t="str">
        <x:v>60轮后Matrix @标量路径抛ValueError，但正式test_matmul要求直接调用a.__matmul__(2)返回NotImplemented，以便Python执行运算分派。</x:v>
      </x:c>
      <x:c r="F81" s="10" t="str">
        <x:v>在不支持的操作数类型上返回NotImplemented，区分直接魔术方法与最终运算异常。</x:v>
      </x:c>
      <x:c r="G81" s="2" t="str">
        <x:v>通过</x:v>
      </x:c>
      <x:c r="H81" s="2" t="str">
        <x:v>limit</x:v>
      </x:c>
      <x:c r="I81" s="11" t="n">
        <x:v>1</x:v>
      </x:c>
      <x:c r="J81" s="11" t="n">
        <x:v>1</x:v>
      </x:c>
      <x:c r="K81" s="11" t="str">
        <x:v>unresolved</x:v>
      </x:c>
      <x:c r="L81" s="11" t="n">
        <x:v>0</x:v>
      </x:c>
      <x:c r="M81" s="11" t="n">
        <x:v>1</x:v>
      </x:c>
      <x:c r="N81" s="11" t="n">
        <x:v>69</x:v>
      </x:c>
      <x:c r="O81" s="11" t="n">
        <x:v>0</x:v>
      </x:c>
      <x:c r="P81" s="11" t="n">
        <x:v>736468</x:v>
      </x:c>
      <x:c r="Q81" s="11" t="n">
        <x:v>736468</x:v>
      </x:c>
      <x:c r="R81" s="11" t="n">
        <x:v>63</x:v>
      </x:c>
      <x:c r="S81" s="11" t="n">
        <x:v>63</x:v>
      </x:c>
      <x:c r="T81" s="11" t="n">
        <x:v>60</x:v>
      </x:c>
      <x:c r="U81" s="12" t="n">
        <x:v>193.672</x:v>
      </x:c>
      <x:c r="V81" s="9" t="str">
        <x:v>sympy/matrices/common.py
sympy/matrices/expressions/matexpr.py</x:v>
      </x:c>
      <x:c r="W81" s="9" t="str">
        <x:v>test_matmul</x:v>
      </x:c>
      <x:c r="X81" s="9" t="str">
        <x:v>task_output-wsl/lite-baseline-001/instances/sympy__sympy-13773/attempt-0001/state.json
task_output-wsl/lite-baseline-001/instances/sympy__sympy-13773/attempt-0001/agent/run/result.json
task_output-wsl/lite-baseline-001/instances/sympy__sympy-13773/attempt-0001/agent/run/events.jsonl
task_output-wsl/lite-baseline-001/instances/sympy__sympy-13773/attempt-0001/agent-console.log
task_output-wsl/lite-baseline-001/instances/sympy__sympy-13773/attempt-0001/patch.json
task_output-wsl/lite-baseline-001/instances/sympy__sympy-13773/attempt-0001/grading/8842fd0051/logs/run_evaluation/akicode-559f352a5911-8842fd0051/akicode/sympy__sympy-13773/report.json
task_output-wsl/lite-baseline-001/instances/sympy__sympy-13773/attempt-0001/grading/8842fd0051/logs/run_evaluation/akicode-559f352a5911-8842fd0051/akicode/sympy__sympy-13773/test_output.txt
task_output-wsl/lite-baseline-001/instances/sympy__sympy-13773/attempt-0001/patch.diff</x:v>
      </x:c>
      <x:c r="Y81" s="2" t="str">
        <x:v>thinking
tool_use
tool_use</x:v>
      </x:c>
      <x:c r="Z81" s="11" t="n">
        <x:v>500</x:v>
      </x:c>
      <x:c r="AA81" s="11" t="n">
        <x:v>0</x:v>
      </x:c>
    </x:row>
    <x:row r="82" ht="149" customHeight="1">
      <x:c r="A82" s="2" t="str">
        <x:v>sympy__sympy-15308</x:v>
      </x:c>
      <x:c r="B82" s="2" t="str">
        <x:v>sympy/sympy</x:v>
      </x:c>
      <x:c r="C82" s="2" t="str">
        <x:v>unresolved</x:v>
      </x:c>
      <x:c r="D82" s="2" t="str">
        <x:v>补丁目标测试未通过</x:v>
      </x:c>
      <x:c r="E82" s="10" t="str">
        <x:v>Trace的LaTeX功能增加后，正式test_trace要求\mathrm{tr}\left (A \right )等格式，补丁使用\operatorname{tr}\left(...)，字符串格式不符。</x:v>
      </x:c>
      <x:c r="F82" s="10" t="str">
        <x:v>对齐Trace打印的运算符、括号和空格契约。</x:v>
      </x:c>
      <x:c r="G82" s="2" t="str">
        <x:v>通过</x:v>
      </x:c>
      <x:c r="H82" s="2" t="str">
        <x:v>completed</x:v>
      </x:c>
      <x:c r="I82" s="11" t="n">
        <x:v>1</x:v>
      </x:c>
      <x:c r="J82" s="11" t="n">
        <x:v>1</x:v>
      </x:c>
      <x:c r="K82" s="11" t="str">
        <x:v>unresolved</x:v>
      </x:c>
      <x:c r="L82" s="11" t="n">
        <x:v>0</x:v>
      </x:c>
      <x:c r="M82" s="11" t="n">
        <x:v>1</x:v>
      </x:c>
      <x:c r="N82" s="11" t="n">
        <x:v>120</x:v>
      </x:c>
      <x:c r="O82" s="11" t="n">
        <x:v>0</x:v>
      </x:c>
      <x:c r="P82" s="11" t="n">
        <x:v>288843</x:v>
      </x:c>
      <x:c r="Q82" s="11" t="n">
        <x:v>288843</x:v>
      </x:c>
      <x:c r="R82" s="11" t="n">
        <x:v>29</x:v>
      </x:c>
      <x:c r="S82" s="11" t="n">
        <x:v>29</x:v>
      </x:c>
      <x:c r="T82" s="11" t="n">
        <x:v>28</x:v>
      </x:c>
      <x:c r="U82" s="12" t="n">
        <x:v>77.007</x:v>
      </x:c>
      <x:c r="V82" s="9" t="str">
        <x:v>sympy/printing/latex.py</x:v>
      </x:c>
      <x:c r="W82" s="9" t="str">
        <x:v>test_trace</x:v>
      </x:c>
      <x:c r="X82" s="9" t="str">
        <x:v>task_output-wsl/lite-baseline-001/instances/sympy__sympy-15308/attempt-0001/state.json
task_output-wsl/lite-baseline-001/instances/sympy__sympy-15308/attempt-0001/agent/run/result.json
task_output-wsl/lite-baseline-001/instances/sympy__sympy-15308/attempt-0001/agent/run/events.jsonl
task_output-wsl/lite-baseline-001/instances/sympy__sympy-15308/attempt-0001/agent-console.log
task_output-wsl/lite-baseline-001/instances/sympy__sympy-15308/attempt-0001/patch.json
task_output-wsl/lite-baseline-001/instances/sympy__sympy-15308/attempt-0001/grading/a20eef6f0d/logs/run_evaluation/akicode-559f352a5911-a20eef6f0d/akicode/sympy__sympy-15308/report.json
task_output-wsl/lite-baseline-001/instances/sympy__sympy-15308/attempt-0001/grading/a20eef6f0d/logs/run_evaluation/akicode-559f352a5911-a20eef6f0d/akicode/sympy__sympy-15308/test_output.txt
task_output-wsl/lite-baseline-001/instances/sympy__sympy-15308/attempt-0001/patch.diff</x:v>
      </x:c>
      <x:c r="Y82" s="2" t="str">
        <x:v>thinking
text</x:v>
      </x:c>
      <x:c r="Z82" s="11" t="n">
        <x:v>280</x:v>
      </x:c>
      <x:c r="AA82" s="11" t="n">
        <x:v>0</x:v>
      </x:c>
    </x:row>
    <x:row r="83" ht="149" customHeight="1">
      <x:c r="A83" s="2" t="str">
        <x:v>sympy__sympy-17630</x:v>
      </x:c>
      <x:c r="B83" s="2" t="str">
        <x:v>sympy/sympy</x:v>
      </x:c>
      <x:c r="C83" s="2" t="str">
        <x:v>unresolved</x:v>
      </x:c>
      <x:c r="D83" s="2" t="str">
        <x:v>补丁目标测试未通过</x:v>
      </x:c>
      <x:c r="E83" s="10" t="str">
        <x:v>两个F2P中1个通过；Add(ZeroMatrix(2,2),ZeroMatrix(2,2))仍未化简为ZeroMatrix；60轮上限。</x:v>
      </x:c>
      <x:c r="F83" s="10" t="str">
        <x:v>覆盖Add与MatAdd两类入口及零矩阵维度合并。</x:v>
      </x:c>
      <x:c r="G83" s="2" t="str">
        <x:v>通过</x:v>
      </x:c>
      <x:c r="H83" s="2" t="str">
        <x:v>limit</x:v>
      </x:c>
      <x:c r="I83" s="11" t="n">
        <x:v>1</x:v>
      </x:c>
      <x:c r="J83" s="11" t="n">
        <x:v>1</x:v>
      </x:c>
      <x:c r="K83" s="11" t="str">
        <x:v>unresolved</x:v>
      </x:c>
      <x:c r="L83" s="11" t="n">
        <x:v>1</x:v>
      </x:c>
      <x:c r="M83" s="11" t="n">
        <x:v>1</x:v>
      </x:c>
      <x:c r="N83" s="11" t="n">
        <x:v>19</x:v>
      </x:c>
      <x:c r="O83" s="11" t="n">
        <x:v>0</x:v>
      </x:c>
      <x:c r="P83" s="11" t="n">
        <x:v>765675</x:v>
      </x:c>
      <x:c r="Q83" s="11" t="n">
        <x:v>765675</x:v>
      </x:c>
      <x:c r="R83" s="11" t="n">
        <x:v>63</x:v>
      </x:c>
      <x:c r="S83" s="11" t="n">
        <x:v>63</x:v>
      </x:c>
      <x:c r="T83" s="11" t="n">
        <x:v>60</x:v>
      </x:c>
      <x:c r="U83" s="12" t="n">
        <x:v>164.991</x:v>
      </x:c>
      <x:c r="V83" s="9" t="str">
        <x:v>sympy/matrices/expressions/blockmatrix.py</x:v>
      </x:c>
      <x:c r="W83" s="9" t="str">
        <x:v>test_zero_matrix_add</x:v>
      </x:c>
      <x:c r="X83" s="9" t="str">
        <x:v>task_output-wsl/lite-baseline-001/instances/sympy__sympy-17630/attempt-0001/state.json
task_output-wsl/lite-baseline-001/instances/sympy__sympy-17630/attempt-0001/agent/run/result.json
task_output-wsl/lite-baseline-001/instances/sympy__sympy-17630/attempt-0001/agent/run/events.jsonl
task_output-wsl/lite-baseline-001/instances/sympy__sympy-17630/attempt-0001/agent-console.log
task_output-wsl/lite-baseline-001/instances/sympy__sympy-17630/attempt-0001/patch.json
task_output-wsl/lite-baseline-001/instances/sympy__sympy-17630/attempt-0001/grading/9092a73020/logs/run_evaluation/akicode-559f352a5911-9092a73020/akicode/sympy__sympy-17630/report.json
task_output-wsl/lite-baseline-001/instances/sympy__sympy-17630/attempt-0001/grading/9092a73020/logs/run_evaluation/akicode-559f352a5911-9092a73020/akicode/sympy__sympy-17630/test_output.txt
task_output-wsl/lite-baseline-001/instances/sympy__sympy-17630/attempt-0001/patch.diff</x:v>
      </x:c>
      <x:c r="Y83" s="2" t="str">
        <x:v>thinking
text
tool_use
tool_use</x:v>
      </x:c>
      <x:c r="Z83" s="11" t="n">
        <x:v>330</x:v>
      </x:c>
      <x:c r="AA83" s="11" t="n">
        <x:v>0</x:v>
      </x:c>
    </x:row>
    <x:row r="84" ht="149" customHeight="1">
      <x:c r="A84" s="2" t="str">
        <x:v>sympy__sympy-18057</x:v>
      </x:c>
      <x:c r="B84" s="2" t="str">
        <x:v>sympy/sympy</x:v>
      </x:c>
      <x:c r="C84" s="2" t="str">
        <x:v>unresolved</x:v>
      </x:c>
      <x:c r="D84" s="2" t="str">
        <x:v>补丁目标测试未通过</x:v>
      </x:c>
      <x:c r="E84" s="10" t="str">
        <x:v>60轮后正式test_var仍失败，返回对象与字符串列表比较v != [d,e,fg]的语义不符；目标断言有实际失败证据。</x:v>
      </x:c>
      <x:c r="F84" s="10" t="str">
        <x:v>明确var的返回类型及符号与字符串比较行为，验证目标断言。</x:v>
      </x:c>
      <x:c r="G84" s="2" t="str">
        <x:v>通过</x:v>
      </x:c>
      <x:c r="H84" s="2" t="str">
        <x:v>limit</x:v>
      </x:c>
      <x:c r="I84" s="11" t="n">
        <x:v>1</x:v>
      </x:c>
      <x:c r="J84" s="11" t="n">
        <x:v>1</x:v>
      </x:c>
      <x:c r="K84" s="11" t="str">
        <x:v>unresolved</x:v>
      </x:c>
      <x:c r="L84" s="11" t="n">
        <x:v>0</x:v>
      </x:c>
      <x:c r="M84" s="11" t="n">
        <x:v>1</x:v>
      </x:c>
      <x:c r="N84" s="11" t="n">
        <x:v>98</x:v>
      </x:c>
      <x:c r="O84" s="11" t="n">
        <x:v>0</x:v>
      </x:c>
      <x:c r="P84" s="11" t="n">
        <x:v>764060</x:v>
      </x:c>
      <x:c r="Q84" s="11" t="n">
        <x:v>764060</x:v>
      </x:c>
      <x:c r="R84" s="11" t="n">
        <x:v>63</x:v>
      </x:c>
      <x:c r="S84" s="11" t="n">
        <x:v>63</x:v>
      </x:c>
      <x:c r="T84" s="11" t="n">
        <x:v>60</x:v>
      </x:c>
      <x:c r="U84" s="12" t="n">
        <x:v>262.1</x:v>
      </x:c>
      <x:c r="V84" s="9" t="str">
        <x:v>sympy/core/sympify.py</x:v>
      </x:c>
      <x:c r="W84" s="9" t="str">
        <x:v>test_var</x:v>
      </x:c>
      <x:c r="X84" s="9" t="str">
        <x:v>task_output-wsl/lite-baseline-001/instances/sympy__sympy-18057/attempt-0001/state.json
task_output-wsl/lite-baseline-001/instances/sympy__sympy-18057/attempt-0001/agent/run/result.json
task_output-wsl/lite-baseline-001/instances/sympy__sympy-18057/attempt-0001/agent/run/events.jsonl
task_output-wsl/lite-baseline-001/instances/sympy__sympy-18057/attempt-0001/agent-console.log
task_output-wsl/lite-baseline-001/instances/sympy__sympy-18057/attempt-0001/patch.json
task_output-wsl/lite-baseline-001/instances/sympy__sympy-18057/attempt-0001/grading/dc075c1529/logs/run_evaluation/akicode-559f352a5911-dc075c1529/akicode/sympy__sympy-18057/report.json
task_output-wsl/lite-baseline-001/instances/sympy__sympy-18057/attempt-0001/grading/dc075c1529/logs/run_evaluation/akicode-559f352a5911-dc075c1529/akicode/sympy__sympy-18057/test_output.txt
task_output-wsl/lite-baseline-001/instances/sympy__sympy-18057/attempt-0001/patch.diff</x:v>
      </x:c>
      <x:c r="Y84" s="2" t="str">
        <x:v>thinking
tool_use
tool_use</x:v>
      </x:c>
      <x:c r="Z84" s="11" t="n">
        <x:v>287</x:v>
      </x:c>
      <x:c r="AA84" s="11" t="n">
        <x:v>0</x:v>
      </x:c>
    </x:row>
    <x:row r="85" ht="149" customHeight="1">
      <x:c r="A85" s="2" t="str">
        <x:v>sympy__sympy-18199</x:v>
      </x:c>
      <x:c r="B85" s="2" t="str">
        <x:v>sympy/sympy</x:v>
      </x:c>
      <x:c r="C85" s="2" t="str">
        <x:v>unresolved</x:v>
      </x:c>
      <x:c r="D85" s="2" t="str">
        <x:v>补丁目标测试未通过</x:v>
      </x:c>
      <x:c r="E85" s="10" t="str">
        <x:v>零模数根情况有局部修复，但正式test_solve_modular在Mod(x**3,8)-1的整数解集合仍失败，说明复合模数/求解器路径覆盖不足。</x:v>
      </x:c>
      <x:c r="F85" s="10" t="str">
        <x:v>覆盖素数幂和复合模数的nthroot_mod到solveset路径。</x:v>
      </x:c>
      <x:c r="G85" s="2" t="str">
        <x:v>通过</x:v>
      </x:c>
      <x:c r="H85" s="2" t="str">
        <x:v>completed</x:v>
      </x:c>
      <x:c r="I85" s="11" t="n">
        <x:v>1</x:v>
      </x:c>
      <x:c r="J85" s="11" t="n">
        <x:v>1</x:v>
      </x:c>
      <x:c r="K85" s="11" t="str">
        <x:v>unresolved</x:v>
      </x:c>
      <x:c r="L85" s="11" t="n">
        <x:v>0</x:v>
      </x:c>
      <x:c r="M85" s="11" t="n">
        <x:v>1</x:v>
      </x:c>
      <x:c r="N85" s="11" t="n">
        <x:v>113</x:v>
      </x:c>
      <x:c r="O85" s="11" t="n">
        <x:v>0</x:v>
      </x:c>
      <x:c r="P85" s="11" t="n">
        <x:v>145442</x:v>
      </x:c>
      <x:c r="Q85" s="11" t="n">
        <x:v>145442</x:v>
      </x:c>
      <x:c r="R85" s="11" t="n">
        <x:v>15</x:v>
      </x:c>
      <x:c r="S85" s="11" t="n">
        <x:v>15</x:v>
      </x:c>
      <x:c r="T85" s="11" t="n">
        <x:v>15</x:v>
      </x:c>
      <x:c r="U85" s="12" t="n">
        <x:v>65.216</x:v>
      </x:c>
      <x:c r="V85" s="9" t="str">
        <x:v>sympy/ntheory/residue_ntheory.py</x:v>
      </x:c>
      <x:c r="W85" s="9" t="str">
        <x:v>test_solve_modular</x:v>
      </x:c>
      <x:c r="X85" s="9" t="str">
        <x:v>task_output-wsl/lite-baseline-001/instances/sympy__sympy-18199/attempt-0001/state.json
task_output-wsl/lite-baseline-001/instances/sympy__sympy-18199/attempt-0001/agent/run/result.json
task_output-wsl/lite-baseline-001/instances/sympy__sympy-18199/attempt-0001/agent/run/events.jsonl
task_output-wsl/lite-baseline-001/instances/sympy__sympy-18199/attempt-0001/agent-console.log
task_output-wsl/lite-baseline-001/instances/sympy__sympy-18199/attempt-0001/patch.json
task_output-wsl/lite-baseline-001/instances/sympy__sympy-18199/attempt-0001/grading/fb9d380434/logs/run_evaluation/akicode-559f352a5911-fb9d380434/akicode/sympy__sympy-18199/report.json
task_output-wsl/lite-baseline-001/instances/sympy__sympy-18199/attempt-0001/grading/fb9d380434/logs/run_evaluation/akicode-559f352a5911-fb9d380434/akicode/sympy__sympy-18199/test_output.txt
task_output-wsl/lite-baseline-001/instances/sympy__sympy-18199/attempt-0001/patch.diff</x:v>
      </x:c>
      <x:c r="Y85" s="2" t="str">
        <x:v>thinking
text</x:v>
      </x:c>
      <x:c r="Z85" s="11" t="n">
        <x:v>206</x:v>
      </x:c>
      <x:c r="AA85" s="11" t="n">
        <x:v>0</x:v>
      </x:c>
    </x:row>
    <x:row r="86" ht="149" customHeight="1">
      <x:c r="A86" s="2" t="str">
        <x:v>sympy__sympy-20639</x:v>
      </x:c>
      <x:c r="B86" s="2" t="str">
        <x:v>sympy/sympy</x:v>
      </x:c>
      <x:c r="C86" s="2" t="str">
        <x:v>unresolved</x:v>
      </x:c>
      <x:c r="D86" s="2" t="str">
        <x:v>补丁目标测试未通过</x:v>
      </x:c>
      <x:c r="E86" s="10" t="str">
        <x:v>根式pretty修复后，test_issue_6285和test_issue_17616两个正式字符串断言仍失败，既有1/pi符号根又有1/E场景不满足预期。</x:v>
      </x:c>
      <x:c r="F86" s="10" t="str">
        <x:v>以ASCII/Unicode根式基线分别验证指数分母提取与排版。</x:v>
      </x:c>
      <x:c r="G86" s="2" t="str">
        <x:v>通过</x:v>
      </x:c>
      <x:c r="H86" s="2" t="str">
        <x:v>completed</x:v>
      </x:c>
      <x:c r="I86" s="11" t="n">
        <x:v>1</x:v>
      </x:c>
      <x:c r="J86" s="11" t="n">
        <x:v>1</x:v>
      </x:c>
      <x:c r="K86" s="11" t="str">
        <x:v>unresolved</x:v>
      </x:c>
      <x:c r="L86" s="11" t="n">
        <x:v>0</x:v>
      </x:c>
      <x:c r="M86" s="11" t="n">
        <x:v>2</x:v>
      </x:c>
      <x:c r="N86" s="11" t="n">
        <x:v>139</x:v>
      </x:c>
      <x:c r="O86" s="11" t="n">
        <x:v>0</x:v>
      </x:c>
      <x:c r="P86" s="11" t="n">
        <x:v>491119</x:v>
      </x:c>
      <x:c r="Q86" s="11" t="n">
        <x:v>491119</x:v>
      </x:c>
      <x:c r="R86" s="11" t="n">
        <x:v>53</x:v>
      </x:c>
      <x:c r="S86" s="11" t="n">
        <x:v>53</x:v>
      </x:c>
      <x:c r="T86" s="11" t="n">
        <x:v>51</x:v>
      </x:c>
      <x:c r="U86" s="12" t="n">
        <x:v>154.539</x:v>
      </x:c>
      <x:c r="V86" s="9" t="str">
        <x:v>sympy/printing/pretty/pretty.py</x:v>
      </x:c>
      <x:c r="W86" s="9" t="str">
        <x:v>test_issue_6285
test_issue_17616</x:v>
      </x:c>
      <x:c r="X86" s="9" t="str">
        <x:v>task_output-wsl/lite-baseline-001/instances/sympy__sympy-20639/attempt-0001/state.json
task_output-wsl/lite-baseline-001/instances/sympy__sympy-20639/attempt-0001/agent/run/result.json
task_output-wsl/lite-baseline-001/instances/sympy__sympy-20639/attempt-0001/agent/run/events.jsonl
task_output-wsl/lite-baseline-001/instances/sympy__sympy-20639/attempt-0001/agent-console.log
task_output-wsl/lite-baseline-001/instances/sympy__sympy-20639/attempt-0001/patch.json
task_output-wsl/lite-baseline-001/instances/sympy__sympy-20639/attempt-0001/grading/5c1dc7d14f/logs/run_evaluation/akicode-559f352a5911-5c1dc7d14f/akicode/sympy__sympy-20639/report.json
task_output-wsl/lite-baseline-001/instances/sympy__sympy-20639/attempt-0001/grading/5c1dc7d14f/logs/run_evaluation/akicode-559f352a5911-5c1dc7d14f/akicode/sympy__sympy-20639/test_output.txt
task_output-wsl/lite-baseline-001/instances/sympy__sympy-20639/attempt-0001/patch.diff</x:v>
      </x:c>
      <x:c r="Y86" s="2" t="str">
        <x:v>thinking
text</x:v>
      </x:c>
      <x:c r="Z86" s="11" t="n">
        <x:v>205</x:v>
      </x:c>
      <x:c r="AA86" s="11" t="n">
        <x:v>0</x:v>
      </x:c>
    </x:row>
    <x:row r="87" ht="149" customHeight="1">
      <x:c r="A87" s="2" t="str">
        <x:v>sympy__sympy-21171</x:v>
      </x:c>
      <x:c r="B87" s="2" t="str">
        <x:v>sympy/sympy</x:v>
      </x:c>
      <x:c r="C87" s="2" t="str">
        <x:v>unresolved</x:v>
      </x:c>
      <x:c r="D87" s="2" t="str">
        <x:v>补丁目标测试未通过</x:v>
      </x:c>
      <x:c r="E87" s="10" t="str">
        <x:v>SingularityFunction外层幂已支持，但正式latex(SingularityFunction(x,4,5)**3)字符串仍不符，属于目标LaTeX输出契约未对齐。</x:v>
      </x:c>
      <x:c r="F87" s="10" t="str">
        <x:v>对齐外层括号、幂和分组格式，覆盖正负指数。</x:v>
      </x:c>
      <x:c r="G87" s="2" t="str">
        <x:v>通过</x:v>
      </x:c>
      <x:c r="H87" s="2" t="str">
        <x:v>completed</x:v>
      </x:c>
      <x:c r="I87" s="11" t="n">
        <x:v>1</x:v>
      </x:c>
      <x:c r="J87" s="11" t="n">
        <x:v>1</x:v>
      </x:c>
      <x:c r="K87" s="11" t="str">
        <x:v>unresolved</x:v>
      </x:c>
      <x:c r="L87" s="11" t="n">
        <x:v>0</x:v>
      </x:c>
      <x:c r="M87" s="11" t="n">
        <x:v>1</x:v>
      </x:c>
      <x:c r="N87" s="11" t="n">
        <x:v>152</x:v>
      </x:c>
      <x:c r="O87" s="11" t="n">
        <x:v>0</x:v>
      </x:c>
      <x:c r="P87" s="11" t="n">
        <x:v>170533</x:v>
      </x:c>
      <x:c r="Q87" s="11" t="n">
        <x:v>170533</x:v>
      </x:c>
      <x:c r="R87" s="11" t="n">
        <x:v>15</x:v>
      </x:c>
      <x:c r="S87" s="11" t="n">
        <x:v>15</x:v>
      </x:c>
      <x:c r="T87" s="11" t="n">
        <x:v>15</x:v>
      </x:c>
      <x:c r="U87" s="12" t="n">
        <x:v>63.605</x:v>
      </x:c>
      <x:c r="V87" s="9" t="str">
        <x:v>sympy/printing/latex.py</x:v>
      </x:c>
      <x:c r="W87" s="9" t="str">
        <x:v>test_latex_SingularityFunction</x:v>
      </x:c>
      <x:c r="X87" s="9" t="str">
        <x:v>task_output-wsl/lite-baseline-001/instances/sympy__sympy-21171/attempt-0001/state.json
task_output-wsl/lite-baseline-001/instances/sympy__sympy-21171/attempt-0001/agent/run/result.json
task_output-wsl/lite-baseline-001/instances/sympy__sympy-21171/attempt-0001/agent/run/events.jsonl
task_output-wsl/lite-baseline-001/instances/sympy__sympy-21171/attempt-0001/agent-console.log
task_output-wsl/lite-baseline-001/instances/sympy__sympy-21171/attempt-0001/patch.json
task_output-wsl/lite-baseline-001/instances/sympy__sympy-21171/attempt-0001/grading/9acd27563c/logs/run_evaluation/akicode-559f352a5911-9acd27563c/akicode/sympy__sympy-21171/report.json
task_output-wsl/lite-baseline-001/instances/sympy__sympy-21171/attempt-0001/grading/9acd27563c/logs/run_evaluation/akicode-559f352a5911-9acd27563c/akicode/sympy__sympy-21171/test_output.txt
task_output-wsl/lite-baseline-001/instances/sympy__sympy-21171/attempt-0001/patch.diff</x:v>
      </x:c>
      <x:c r="Y87" s="2" t="str">
        <x:v>thinking
text</x:v>
      </x:c>
      <x:c r="Z87" s="11" t="n">
        <x:v>371</x:v>
      </x:c>
      <x:c r="AA87" s="11" t="n">
        <x:v>0</x:v>
      </x:c>
    </x:row>
    <x:row r="88" ht="149" customHeight="1">
      <x:c r="A88" s="2" t="str">
        <x:v>sympy__sympy-22840</x:v>
      </x:c>
      <x:c r="B88" s="2" t="str">
        <x:v>sympy/sympy</x:v>
      </x:c>
      <x:c r="C88" s="2" t="str">
        <x:v>unresolved</x:v>
      </x:c>
      <x:c r="D88" s="2" t="str">
        <x:v>补丁目标测试未通过</x:v>
      </x:c>
      <x:c r="E88" s="10" t="str">
        <x:v>2个F2P中1个通过；CSE避免提取MatrixSymbol后，test_multidim_c_argument_cse生成的C代码仍与expected不同。</x:v>
      </x:c>
      <x:c r="F88" s="10" t="str">
        <x:v>验证CSE替换顺序、标量临时变量和多维数组参数的最终代码。</x:v>
      </x:c>
      <x:c r="G88" s="2" t="str">
        <x:v>通过</x:v>
      </x:c>
      <x:c r="H88" s="2" t="str">
        <x:v>completed</x:v>
      </x:c>
      <x:c r="I88" s="11" t="n">
        <x:v>1</x:v>
      </x:c>
      <x:c r="J88" s="11" t="n">
        <x:v>1</x:v>
      </x:c>
      <x:c r="K88" s="11" t="str">
        <x:v>unresolved</x:v>
      </x:c>
      <x:c r="L88" s="11" t="n">
        <x:v>1</x:v>
      </x:c>
      <x:c r="M88" s="11" t="n">
        <x:v>1</x:v>
      </x:c>
      <x:c r="N88" s="11" t="n">
        <x:v>95</x:v>
      </x:c>
      <x:c r="O88" s="11" t="n">
        <x:v>0</x:v>
      </x:c>
      <x:c r="P88" s="11" t="n">
        <x:v>284685</x:v>
      </x:c>
      <x:c r="Q88" s="11" t="n">
        <x:v>284685</x:v>
      </x:c>
      <x:c r="R88" s="11" t="n">
        <x:v>26</x:v>
      </x:c>
      <x:c r="S88" s="11" t="n">
        <x:v>26</x:v>
      </x:c>
      <x:c r="T88" s="11" t="n">
        <x:v>25</x:v>
      </x:c>
      <x:c r="U88" s="12" t="n">
        <x:v>76.78</x:v>
      </x:c>
      <x:c r="V88" s="9" t="str">
        <x:v>sympy/simplify/cse_main.py</x:v>
      </x:c>
      <x:c r="W88" s="9" t="str">
        <x:v>test_multidim_c_argument_cse</x:v>
      </x:c>
      <x:c r="X88" s="9" t="str">
        <x:v>task_output-wsl/lite-baseline-001/instances/sympy__sympy-22840/attempt-0001/state.json
task_output-wsl/lite-baseline-001/instances/sympy__sympy-22840/attempt-0001/agent/run/result.json
task_output-wsl/lite-baseline-001/instances/sympy__sympy-22840/attempt-0001/agent/run/events.jsonl
task_output-wsl/lite-baseline-001/instances/sympy__sympy-22840/attempt-0001/agent-console.log
task_output-wsl/lite-baseline-001/instances/sympy__sympy-22840/attempt-0001/patch.json
task_output-wsl/lite-baseline-001/instances/sympy__sympy-22840/attempt-0001/grading/2ab1d497d7/logs/run_evaluation/akicode-559f352a5911-2ab1d497d7/akicode/sympy__sympy-22840/report.json
task_output-wsl/lite-baseline-001/instances/sympy__sympy-22840/attempt-0001/grading/2ab1d497d7/logs/run_evaluation/akicode-559f352a5911-2ab1d497d7/akicode/sympy__sympy-22840/test_output.txt
task_output-wsl/lite-baseline-001/instances/sympy__sympy-22840/attempt-0001/patch.diff</x:v>
      </x:c>
      <x:c r="Y88" s="2" t="str">
        <x:v>thinking
text</x:v>
      </x:c>
      <x:c r="Z88" s="11" t="n">
        <x:v>331</x:v>
      </x:c>
      <x:c r="AA88" s="11" t="n">
        <x:v>0</x:v>
      </x:c>
    </x:row>
    <x:row r="89" ht="149" customHeight="1">
      <x:c r="A89" s="2" t="str">
        <x:v>sympy__sympy-23191</x:v>
      </x:c>
      <x:c r="B89" s="2" t="str">
        <x:v>sympy/sympy</x:v>
      </x:c>
      <x:c r="C89" s="2" t="str">
        <x:v>unresolved</x:v>
      </x:c>
      <x:c r="D89" s="2" t="str">
        <x:v>补丁同时未修复目标且破坏回归</x:v>
      </x:c>
      <x:c r="E89" s="10" t="str">
        <x:v>向量pretty排版的F2P test_issue_23058与P2P test_pretty_print_unicode_v同时失败；60轮后补丁仍有布局回归。</x:v>
      </x:c>
      <x:c r="F89" s="10" t="str">
        <x:v>将新增复杂向量和原有Unicode向量版式一起作为验收。</x:v>
      </x:c>
      <x:c r="G89" s="2" t="str">
        <x:v>通过</x:v>
      </x:c>
      <x:c r="H89" s="2" t="str">
        <x:v>limit</x:v>
      </x:c>
      <x:c r="I89" s="11" t="n">
        <x:v>1</x:v>
      </x:c>
      <x:c r="J89" s="11" t="n">
        <x:v>1</x:v>
      </x:c>
      <x:c r="K89" s="11" t="str">
        <x:v>unresolved</x:v>
      </x:c>
      <x:c r="L89" s="11" t="n">
        <x:v>0</x:v>
      </x:c>
      <x:c r="M89" s="11" t="n">
        <x:v>1</x:v>
      </x:c>
      <x:c r="N89" s="11" t="n">
        <x:v>2</x:v>
      </x:c>
      <x:c r="O89" s="11" t="n">
        <x:v>1</x:v>
      </x:c>
      <x:c r="P89" s="11" t="n">
        <x:v>767816</x:v>
      </x:c>
      <x:c r="Q89" s="11" t="n">
        <x:v>767816</x:v>
      </x:c>
      <x:c r="R89" s="11" t="n">
        <x:v>63</x:v>
      </x:c>
      <x:c r="S89" s="11" t="n">
        <x:v>63</x:v>
      </x:c>
      <x:c r="T89" s="11" t="n">
        <x:v>60</x:v>
      </x:c>
      <x:c r="U89" s="12" t="n">
        <x:v>174.783</x:v>
      </x:c>
      <x:c r="V89" s="9" t="str">
        <x:v>sympy/printing/pretty/pretty.py</x:v>
      </x:c>
      <x:c r="W89" s="9" t="str">
        <x:v>test_issue_23058
test_pretty_print_unicode_v</x:v>
      </x:c>
      <x:c r="X89" s="9" t="str">
        <x:v>task_output-wsl/lite-baseline-001/instances/sympy__sympy-23191/attempt-0001/state.json
task_output-wsl/lite-baseline-001/instances/sympy__sympy-23191/attempt-0001/agent/run/result.json
task_output-wsl/lite-baseline-001/instances/sympy__sympy-23191/attempt-0001/agent/run/events.jsonl
task_output-wsl/lite-baseline-001/instances/sympy__sympy-23191/attempt-0001/agent-console.log
task_output-wsl/lite-baseline-001/instances/sympy__sympy-23191/attempt-0001/patch.json
task_output-wsl/lite-baseline-001/instances/sympy__sympy-23191/attempt-0001/grading/8045307ec5/logs/run_evaluation/akicode-559f352a5911-8045307ec5/akicode/sympy__sympy-23191/report.json
task_output-wsl/lite-baseline-001/instances/sympy__sympy-23191/attempt-0001/grading/8045307ec5/logs/run_evaluation/akicode-559f352a5911-8045307ec5/akicode/sympy__sympy-23191/test_output.txt
task_output-wsl/lite-baseline-001/instances/sympy__sympy-23191/attempt-0001/patch.diff</x:v>
      </x:c>
      <x:c r="Y89" s="2" t="str">
        <x:v>thinking
tool_use
tool_use</x:v>
      </x:c>
      <x:c r="Z89" s="11" t="n">
        <x:v>115</x:v>
      </x:c>
      <x:c r="AA89" s="11" t="n">
        <x:v>0</x:v>
      </x:c>
    </x:row>
    <x:row r="90" ht="149" customHeight="1">
      <x:c r="A90" s="2" t="str">
        <x:v>sympy__sympy-24102</x:v>
      </x:c>
      <x:c r="B90" s="2" t="str">
        <x:v>sympy/sympy</x:v>
      </x:c>
      <x:c r="C90" s="2" t="str">
        <x:v>unresolved</x:v>
      </x:c>
      <x:c r="D90" s="2" t="str">
        <x:v>补丁目标测试未通过</x:v>
      </x:c>
      <x:c r="E90" s="10" t="str">
        <x:v>Unicode标识符相关2个F2P中1个通过，但test_mathematica的既有表达式映射仍失败；只扩大token正则没有覆盖所有解析语义。</x:v>
      </x:c>
      <x:c r="F90" s="10" t="str">
        <x:v>定位test_mathematica中首个不符表达式，保持旧语法和Unicode标识符同时正确。</x:v>
      </x:c>
      <x:c r="G90" s="2" t="str">
        <x:v>通过</x:v>
      </x:c>
      <x:c r="H90" s="2" t="str">
        <x:v>completed</x:v>
      </x:c>
      <x:c r="I90" s="11" t="n">
        <x:v>1</x:v>
      </x:c>
      <x:c r="J90" s="11" t="n">
        <x:v>1</x:v>
      </x:c>
      <x:c r="K90" s="11" t="str">
        <x:v>unresolved</x:v>
      </x:c>
      <x:c r="L90" s="11" t="n">
        <x:v>1</x:v>
      </x:c>
      <x:c r="M90" s="11" t="n">
        <x:v>1</x:v>
      </x:c>
      <x:c r="N90" s="11" t="n">
        <x:v>0</x:v>
      </x:c>
      <x:c r="O90" s="11" t="n">
        <x:v>0</x:v>
      </x:c>
      <x:c r="P90" s="11" t="n">
        <x:v>403284</x:v>
      </x:c>
      <x:c r="Q90" s="11" t="n">
        <x:v>403284</x:v>
      </x:c>
      <x:c r="R90" s="11" t="n">
        <x:v>36</x:v>
      </x:c>
      <x:c r="S90" s="11" t="n">
        <x:v>36</x:v>
      </x:c>
      <x:c r="T90" s="11" t="n">
        <x:v>35</x:v>
      </x:c>
      <x:c r="U90" s="12" t="n">
        <x:v>113.638</x:v>
      </x:c>
      <x:c r="V90" s="9" t="str">
        <x:v>sympy/parsing/mathematica.py</x:v>
      </x:c>
      <x:c r="W90" s="9" t="str">
        <x:v>test_mathematica</x:v>
      </x:c>
      <x:c r="X90" s="9" t="str">
        <x:v>task_output-wsl/lite-baseline-001/instances/sympy__sympy-24102/attempt-0001/state.json
task_output-wsl/lite-baseline-001/instances/sympy__sympy-24102/attempt-0001/agent/run/result.json
task_output-wsl/lite-baseline-001/instances/sympy__sympy-24102/attempt-0001/agent/run/events.jsonl
task_output-wsl/lite-baseline-001/instances/sympy__sympy-24102/attempt-0001/agent-console.log
task_output-wsl/lite-baseline-001/instances/sympy__sympy-24102/attempt-0001/patch.json
task_output-wsl/lite-baseline-001/instances/sympy__sympy-24102/attempt-0001/grading/759417f953/logs/run_evaluation/akicode-559f352a5911-759417f953/akicode/sympy__sympy-24102/report.json
task_output-wsl/lite-baseline-001/instances/sympy__sympy-24102/attempt-0001/grading/759417f953/logs/run_evaluation/akicode-559f352a5911-759417f953/akicode/sympy__sympy-24102/test_output.txt
task_output-wsl/lite-baseline-001/instances/sympy__sympy-24102/attempt-0001/patch.diff</x:v>
      </x:c>
      <x:c r="Y90" s="2" t="str">
        <x:v>thinking
text</x:v>
      </x:c>
      <x:c r="Z90" s="11" t="n">
        <x:v>249</x:v>
      </x:c>
      <x:c r="AA90" s="11" t="n">
        <x:v>0</x:v>
      </x:c>
    </x:row>
    <x:row r="91" ht="149" customHeight="1">
      <x:c r="A91" s="2" t="str">
        <x:v>sympy__sympy-24909</x:v>
      </x:c>
      <x:c r="B91" s="2" t="str">
        <x:v>sympy/sympy</x:v>
      </x:c>
      <x:c r="C91" s="2" t="str">
        <x:v>unresolved</x:v>
      </x:c>
      <x:c r="D91" s="2" t="str">
        <x:v>补丁目标测试未通过</x:v>
      </x:c>
      <x:c r="E91" s="10" t="str">
        <x:v>Prefix与Quantity的乘除有修改，但正式test_prefix_operations要求milli*kilo is S.One，补丁破坏/未保持此前缀乘法单位元契约。</x:v>
      </x:c>
      <x:c r="F91" s="10" t="str">
        <x:v>保持Prefix×Prefix的规范化和对象单例结果，再单独处理Quantity运算。</x:v>
      </x:c>
      <x:c r="G91" s="2" t="str">
        <x:v>通过</x:v>
      </x:c>
      <x:c r="H91" s="2" t="str">
        <x:v>completed</x:v>
      </x:c>
      <x:c r="I91" s="11" t="n">
        <x:v>1</x:v>
      </x:c>
      <x:c r="J91" s="11" t="n">
        <x:v>1</x:v>
      </x:c>
      <x:c r="K91" s="11" t="str">
        <x:v>unresolved</x:v>
      </x:c>
      <x:c r="L91" s="11" t="n">
        <x:v>0</x:v>
      </x:c>
      <x:c r="M91" s="11" t="n">
        <x:v>1</x:v>
      </x:c>
      <x:c r="N91" s="11" t="n">
        <x:v>2</x:v>
      </x:c>
      <x:c r="O91" s="11" t="n">
        <x:v>0</x:v>
      </x:c>
      <x:c r="P91" s="11" t="n">
        <x:v>480556</x:v>
      </x:c>
      <x:c r="Q91" s="11" t="n">
        <x:v>480556</x:v>
      </x:c>
      <x:c r="R91" s="11" t="n">
        <x:v>41</x:v>
      </x:c>
      <x:c r="S91" s="11" t="n">
        <x:v>41</x:v>
      </x:c>
      <x:c r="T91" s="11" t="n">
        <x:v>40</x:v>
      </x:c>
      <x:c r="U91" s="12" t="n">
        <x:v>124.441</x:v>
      </x:c>
      <x:c r="V91" s="9" t="str">
        <x:v>sympy/physics/units/prefixes.py</x:v>
      </x:c>
      <x:c r="W91" s="9" t="str">
        <x:v>test_prefix_operations</x:v>
      </x:c>
      <x:c r="X91" s="9" t="str">
        <x:v>task_output-wsl/lite-baseline-001/instances/sympy__sympy-24909/attempt-0001/state.json
task_output-wsl/lite-baseline-001/instances/sympy__sympy-24909/attempt-0001/agent/run/result.json
task_output-wsl/lite-baseline-001/instances/sympy__sympy-24909/attempt-0001/agent/run/events.jsonl
task_output-wsl/lite-baseline-001/instances/sympy__sympy-24909/attempt-0001/agent-console.log
task_output-wsl/lite-baseline-001/instances/sympy__sympy-24909/attempt-0001/patch.json
task_output-wsl/lite-baseline-001/instances/sympy__sympy-24909/attempt-0001/grading/3ed4b442dc/logs/run_evaluation/akicode-559f352a5911-3ed4b442dc/akicode/sympy__sympy-24909/report.json
task_output-wsl/lite-baseline-001/instances/sympy__sympy-24909/attempt-0001/grading/3ed4b442dc/logs/run_evaluation/akicode-559f352a5911-3ed4b442dc/akicode/sympy__sympy-24909/test_output.txt
task_output-wsl/lite-baseline-001/instances/sympy__sympy-24909/attempt-0001/patch.diff</x:v>
      </x:c>
      <x:c r="Y91" s="2" t="str">
        <x:v>thinking
text</x:v>
      </x:c>
      <x:c r="Z91" s="11" t="n">
        <x:v>253</x:v>
      </x:c>
      <x:c r="AA91" s="11" t="n">
        <x:v>0</x:v>
      </x:c>
    </x:row>
    <x:row r="92" ht="37" customHeight="1">
      <x:c r="A92" s="2" t="str">
        <x:v>astropy__astropy-12907</x:v>
      </x:c>
      <x:c r="B92" s="2" t="str">
        <x:v>astropy/astropy</x:v>
      </x:c>
      <x:c r="C92" s="2" t="str">
        <x:v>resolved</x:v>
      </x:c>
      <x:c r="D92" s="2" t="str">
        <x:v>已解决</x:v>
      </x:c>
      <x:c r="E92" s="10" t="str">
        <x:v>gold通过，最新attempt未记录API终止、runner启动失败或评测基础设施终止；不代表原始全套测试零失败。</x:v>
      </x:c>
      <x:c r="F92" s="10" t="str"/>
      <x:c r="G92" s="2" t="str">
        <x:v>通过</x:v>
      </x:c>
      <x:c r="H92" s="2" t="str">
        <x:v>completed</x:v>
      </x:c>
      <x:c r="I92" s="11" t="n">
        <x:v>1</x:v>
      </x:c>
      <x:c r="J92" s="11" t="n">
        <x:v>1</x:v>
      </x:c>
      <x:c r="K92" s="11" t="str">
        <x:v>resolved</x:v>
      </x:c>
      <x:c r="L92" s="11" t="n">
        <x:v>2</x:v>
      </x:c>
      <x:c r="M92" s="11" t="n">
        <x:v>0</x:v>
      </x:c>
      <x:c r="N92" s="11" t="n">
        <x:v>13</x:v>
      </x:c>
      <x:c r="O92" s="11" t="n">
        <x:v>0</x:v>
      </x:c>
      <x:c r="P92" s="11" t="n">
        <x:v>146718</x:v>
      </x:c>
      <x:c r="Q92" s="11" t="n">
        <x:v>146718</x:v>
      </x:c>
      <x:c r="R92" s="11" t="n">
        <x:v>15</x:v>
      </x:c>
      <x:c r="S92" s="11" t="n">
        <x:v>15</x:v>
      </x:c>
      <x:c r="T92" s="11" t="n">
        <x:v>15</x:v>
      </x:c>
      <x:c r="U92" s="12" t="n">
        <x:v>59.036</x:v>
      </x:c>
      <x:c r="V92" s="9" t="str">
        <x:v>astropy/modeling/separable.py</x:v>
      </x:c>
      <x:c r="W92" s="9" t="str"/>
      <x:c r="X92" s="9" t="str">
        <x:v>task_output-wsl/lite-baseline-001/instances/astropy__astropy-12907/attempt-0001/state.json
task_output-wsl/lite-baseline-001/instances/astropy__astropy-12907/attempt-0001/state.json</x:v>
      </x:c>
      <x:c r="Y92" s="2" t="str">
        <x:v>thinking
text</x:v>
      </x:c>
      <x:c r="Z92" s="11" t="n">
        <x:v>372</x:v>
      </x:c>
      <x:c r="AA92" s="11" t="n">
        <x:v>0</x:v>
      </x:c>
    </x:row>
    <x:row r="93" ht="37" customHeight="1">
      <x:c r="A93" s="2" t="str">
        <x:v>astropy__astropy-14365</x:v>
      </x:c>
      <x:c r="B93" s="2" t="str">
        <x:v>astropy/astropy</x:v>
      </x:c>
      <x:c r="C93" s="2" t="str">
        <x:v>resolved</x:v>
      </x:c>
      <x:c r="D93" s="2" t="str">
        <x:v>已解决</x:v>
      </x:c>
      <x:c r="E93" s="10" t="str">
        <x:v>gold通过，最新attempt未记录API终止、runner启动失败或评测基础设施终止；不代表原始全套测试零失败。</x:v>
      </x:c>
      <x:c r="F93" s="10" t="str"/>
      <x:c r="G93" s="2" t="str">
        <x:v>通过</x:v>
      </x:c>
      <x:c r="H93" s="2" t="str">
        <x:v>completed</x:v>
      </x:c>
      <x:c r="I93" s="11" t="n">
        <x:v>1</x:v>
      </x:c>
      <x:c r="J93" s="11" t="n">
        <x:v>1</x:v>
      </x:c>
      <x:c r="K93" s="11" t="str">
        <x:v>resolved</x:v>
      </x:c>
      <x:c r="L93" s="11" t="n">
        <x:v>1</x:v>
      </x:c>
      <x:c r="M93" s="11" t="n">
        <x:v>0</x:v>
      </x:c>
      <x:c r="N93" s="11" t="n">
        <x:v>8</x:v>
      </x:c>
      <x:c r="O93" s="11" t="n">
        <x:v>0</x:v>
      </x:c>
      <x:c r="P93" s="11" t="n">
        <x:v>89390</x:v>
      </x:c>
      <x:c r="Q93" s="11" t="n">
        <x:v>89390</x:v>
      </x:c>
      <x:c r="R93" s="11" t="n">
        <x:v>10</x:v>
      </x:c>
      <x:c r="S93" s="11" t="n">
        <x:v>10</x:v>
      </x:c>
      <x:c r="T93" s="11" t="n">
        <x:v>10</x:v>
      </x:c>
      <x:c r="U93" s="12" t="n">
        <x:v>21.479</x:v>
      </x:c>
      <x:c r="V93" s="9" t="str">
        <x:v>astropy/io/ascii/qdp.py</x:v>
      </x:c>
      <x:c r="W93" s="9" t="str"/>
      <x:c r="X93" s="9" t="str">
        <x:v>task_output-wsl/lite-baseline-001/instances/astropy__astropy-14365/attempt-0001/state.json
task_output-wsl/lite-baseline-001/instances/astropy__astropy-14365/attempt-0001/state.json</x:v>
      </x:c>
      <x:c r="Y93" s="2" t="str">
        <x:v>thinking
text</x:v>
      </x:c>
      <x:c r="Z93" s="11" t="n">
        <x:v>195</x:v>
      </x:c>
      <x:c r="AA93" s="11" t="n">
        <x:v>0</x:v>
      </x:c>
    </x:row>
    <x:row r="94" ht="37" customHeight="1">
      <x:c r="A94" s="2" t="str">
        <x:v>astropy__astropy-14995</x:v>
      </x:c>
      <x:c r="B94" s="2" t="str">
        <x:v>astropy/astropy</x:v>
      </x:c>
      <x:c r="C94" s="2" t="str">
        <x:v>resolved</x:v>
      </x:c>
      <x:c r="D94" s="2" t="str">
        <x:v>已解决</x:v>
      </x:c>
      <x:c r="E94" s="10" t="str">
        <x:v>gold通过，最新attempt未记录API终止、runner启动失败或评测基础设施终止；不代表原始全套测试零失败。</x:v>
      </x:c>
      <x:c r="F94" s="10" t="str"/>
      <x:c r="G94" s="2" t="str">
        <x:v>通过</x:v>
      </x:c>
      <x:c r="H94" s="2" t="str">
        <x:v>completed</x:v>
      </x:c>
      <x:c r="I94" s="11" t="n">
        <x:v>1</x:v>
      </x:c>
      <x:c r="J94" s="11" t="n">
        <x:v>1</x:v>
      </x:c>
      <x:c r="K94" s="11" t="str">
        <x:v>resolved</x:v>
      </x:c>
      <x:c r="L94" s="11" t="n">
        <x:v>1</x:v>
      </x:c>
      <x:c r="M94" s="11" t="n">
        <x:v>0</x:v>
      </x:c>
      <x:c r="N94" s="11" t="n">
        <x:v>179</x:v>
      </x:c>
      <x:c r="O94" s="11" t="n">
        <x:v>0</x:v>
      </x:c>
      <x:c r="P94" s="11" t="n">
        <x:v>183546</x:v>
      </x:c>
      <x:c r="Q94" s="11" t="n">
        <x:v>183546</x:v>
      </x:c>
      <x:c r="R94" s="11" t="n">
        <x:v>15</x:v>
      </x:c>
      <x:c r="S94" s="11" t="n">
        <x:v>15</x:v>
      </x:c>
      <x:c r="T94" s="11" t="n">
        <x:v>15</x:v>
      </x:c>
      <x:c r="U94" s="12" t="n">
        <x:v>47.369</x:v>
      </x:c>
      <x:c r="V94" s="9" t="str">
        <x:v>astropy/nddata/mixins/ndarithmetic.py</x:v>
      </x:c>
      <x:c r="W94" s="9" t="str"/>
      <x:c r="X94" s="9" t="str">
        <x:v>task_output-wsl/lite-baseline-001/instances/astropy__astropy-14995/attempt-0001/state.json
task_output-wsl/lite-baseline-001/instances/astropy__astropy-14995/attempt-0001/state.json</x:v>
      </x:c>
      <x:c r="Y94" s="2" t="str">
        <x:v>thinking
text</x:v>
      </x:c>
      <x:c r="Z94" s="11" t="n">
        <x:v>204</x:v>
      </x:c>
      <x:c r="AA94" s="11" t="n">
        <x:v>0</x:v>
      </x:c>
    </x:row>
    <x:row r="95" ht="65" customHeight="1">
      <x:c r="A95" s="2" t="str">
        <x:v>django__django-10914</x:v>
      </x:c>
      <x:c r="B95" s="2" t="str">
        <x:v>django/django</x:v>
      </x:c>
      <x:c r="C95" s="2" t="str">
        <x:v>resolved</x:v>
      </x:c>
      <x:c r="D95" s="2" t="str">
        <x:v>已解决</x:v>
      </x:c>
      <x:c r="E95" s="10" t="str">
        <x:v>gold通过，最新attempt未记录API终止、runner启动失败或评测基础设施终止；不代表原始全套测试零失败。</x:v>
      </x:c>
      <x:c r="F95" s="10" t="str"/>
      <x:c r="G95" s="2" t="str">
        <x:v>通过</x:v>
      </x:c>
      <x:c r="H95" s="2" t="str">
        <x:v>completed</x:v>
      </x:c>
      <x:c r="I95" s="11" t="n">
        <x:v>2</x:v>
      </x:c>
      <x:c r="J95" s="11" t="n">
        <x:v>1</x:v>
      </x:c>
      <x:c r="K95" s="11" t="str">
        <x:v>error</x:v>
      </x:c>
      <x:c r="L95" s="11" t="n">
        <x:v>1</x:v>
      </x:c>
      <x:c r="M95" s="11" t="n">
        <x:v>0</x:v>
      </x:c>
      <x:c r="N95" s="11" t="n">
        <x:v>98</x:v>
      </x:c>
      <x:c r="O95" s="11" t="n">
        <x:v>0</x:v>
      </x:c>
      <x:c r="P95" s="11" t="n">
        <x:v>328886</x:v>
      </x:c>
      <x:c r="Q95" s="11" t="n">
        <x:v>328886</x:v>
      </x:c>
      <x:c r="R95" s="11" t="n">
        <x:v>33</x:v>
      </x:c>
      <x:c r="S95" s="11" t="n">
        <x:v>33</x:v>
      </x:c>
      <x:c r="T95" s="11" t="n">
        <x:v>32</x:v>
      </x:c>
      <x:c r="U95" s="12" t="n">
        <x:v>76.412</x:v>
      </x:c>
      <x:c r="V95" s="9" t="str">
        <x:v>django/conf/global_settings.py
docs/howto/deployment/checklist.txt
docs/ref/settings.txt
docs/releases/3.0.txt</x:v>
      </x:c>
      <x:c r="W95" s="9" t="str"/>
      <x:c r="X95" s="9" t="str">
        <x:v>task_output-wsl/lite-baseline-001/instances/django__django-10914/attempt-0002/state.json
task_output-wsl/lite-baseline-001/instances/django__django-10914/attempt-0002/state.json</x:v>
      </x:c>
      <x:c r="Y95" s="2" t="str">
        <x:v>thinking
text</x:v>
      </x:c>
      <x:c r="Z95" s="11" t="n">
        <x:v>214</x:v>
      </x:c>
      <x:c r="AA95" s="11" t="n">
        <x:v>0</x:v>
      </x:c>
    </x:row>
    <x:row r="96" ht="37" customHeight="1">
      <x:c r="A96" s="2" t="str">
        <x:v>django__django-10924</x:v>
      </x:c>
      <x:c r="B96" s="2" t="str">
        <x:v>django/django</x:v>
      </x:c>
      <x:c r="C96" s="2" t="str">
        <x:v>resolved</x:v>
      </x:c>
      <x:c r="D96" s="2" t="str">
        <x:v>已解决</x:v>
      </x:c>
      <x:c r="E96" s="10" t="str">
        <x:v>gold通过，最新attempt未记录API终止、runner启动失败或评测基础设施终止；不代表原始全套测试零失败。</x:v>
      </x:c>
      <x:c r="F96" s="10" t="str"/>
      <x:c r="G96" s="2" t="str">
        <x:v>通过</x:v>
      </x:c>
      <x:c r="H96" s="2" t="str">
        <x:v>completed</x:v>
      </x:c>
      <x:c r="I96" s="11" t="n">
        <x:v>2</x:v>
      </x:c>
      <x:c r="J96" s="11" t="n">
        <x:v>1</x:v>
      </x:c>
      <x:c r="K96" s="11" t="str">
        <x:v>error</x:v>
      </x:c>
      <x:c r="L96" s="11" t="n">
        <x:v>1</x:v>
      </x:c>
      <x:c r="M96" s="11" t="n">
        <x:v>0</x:v>
      </x:c>
      <x:c r="N96" s="11" t="n">
        <x:v>1</x:v>
      </x:c>
      <x:c r="O96" s="11" t="n">
        <x:v>0</x:v>
      </x:c>
      <x:c r="P96" s="11" t="n">
        <x:v>263749</x:v>
      </x:c>
      <x:c r="Q96" s="11" t="n">
        <x:v>263749</x:v>
      </x:c>
      <x:c r="R96" s="11" t="n">
        <x:v>24</x:v>
      </x:c>
      <x:c r="S96" s="11" t="n">
        <x:v>24</x:v>
      </x:c>
      <x:c r="T96" s="11" t="n">
        <x:v>24</x:v>
      </x:c>
      <x:c r="U96" s="12" t="n">
        <x:v>52.325</x:v>
      </x:c>
      <x:c r="V96" s="9" t="str">
        <x:v>django/db/models/fields/__init__.py
docs/ref/models/fields.txt</x:v>
      </x:c>
      <x:c r="W96" s="9" t="str"/>
      <x:c r="X96" s="9" t="str">
        <x:v>task_output-wsl/lite-baseline-001/instances/django__django-10924/attempt-0002/state.json
task_output-wsl/lite-baseline-001/instances/django__django-10924/attempt-0002/state.json</x:v>
      </x:c>
      <x:c r="Y96" s="2" t="str">
        <x:v>thinking
text</x:v>
      </x:c>
      <x:c r="Z96" s="11" t="n">
        <x:v>198</x:v>
      </x:c>
      <x:c r="AA96" s="11" t="n">
        <x:v>0</x:v>
      </x:c>
    </x:row>
    <x:row r="97" ht="37" customHeight="1">
      <x:c r="A97" s="2" t="str">
        <x:v>django__django-11001</x:v>
      </x:c>
      <x:c r="B97" s="2" t="str">
        <x:v>django/django</x:v>
      </x:c>
      <x:c r="C97" s="2" t="str">
        <x:v>resolved</x:v>
      </x:c>
      <x:c r="D97" s="2" t="str">
        <x:v>已解决</x:v>
      </x:c>
      <x:c r="E97" s="10" t="str">
        <x:v>gold通过，最新attempt未记录API终止、runner启动失败或评测基础设施终止；不代表原始全套测试零失败。</x:v>
      </x:c>
      <x:c r="F97" s="10" t="str"/>
      <x:c r="G97" s="2" t="str">
        <x:v>通过</x:v>
      </x:c>
      <x:c r="H97" s="2" t="str">
        <x:v>completed</x:v>
      </x:c>
      <x:c r="I97" s="11" t="n">
        <x:v>2</x:v>
      </x:c>
      <x:c r="J97" s="11" t="n">
        <x:v>1</x:v>
      </x:c>
      <x:c r="K97" s="11" t="str">
        <x:v>error</x:v>
      </x:c>
      <x:c r="L97" s="11" t="n">
        <x:v>2</x:v>
      </x:c>
      <x:c r="M97" s="11" t="n">
        <x:v>0</x:v>
      </x:c>
      <x:c r="N97" s="11" t="n">
        <x:v>118</x:v>
      </x:c>
      <x:c r="O97" s="11" t="n">
        <x:v>0</x:v>
      </x:c>
      <x:c r="P97" s="11" t="n">
        <x:v>139504</x:v>
      </x:c>
      <x:c r="Q97" s="11" t="n">
        <x:v>139504</x:v>
      </x:c>
      <x:c r="R97" s="11" t="n">
        <x:v>14</x:v>
      </x:c>
      <x:c r="S97" s="11" t="n">
        <x:v>14</x:v>
      </x:c>
      <x:c r="T97" s="11" t="n">
        <x:v>14</x:v>
      </x:c>
      <x:c r="U97" s="12" t="n">
        <x:v>41.948</x:v>
      </x:c>
      <x:c r="V97" s="9" t="str">
        <x:v>django/db/models/sql/compiler.py</x:v>
      </x:c>
      <x:c r="W97" s="9" t="str"/>
      <x:c r="X97" s="9" t="str">
        <x:v>task_output-wsl/lite-baseline-001/instances/django__django-11001/attempt-0002/state.json
task_output-wsl/lite-baseline-001/instances/django__django-11001/attempt-0002/state.json</x:v>
      </x:c>
      <x:c r="Y97" s="2" t="str">
        <x:v>thinking
text</x:v>
      </x:c>
      <x:c r="Z97" s="11" t="n">
        <x:v>187</x:v>
      </x:c>
      <x:c r="AA97" s="11" t="n">
        <x:v>0</x:v>
      </x:c>
    </x:row>
    <x:row r="98" ht="37" customHeight="1">
      <x:c r="A98" s="2" t="str">
        <x:v>django__django-11019</x:v>
      </x:c>
      <x:c r="B98" s="2" t="str">
        <x:v>django/django</x:v>
      </x:c>
      <x:c r="C98" s="2" t="str">
        <x:v>resolved</x:v>
      </x:c>
      <x:c r="D98" s="2" t="str">
        <x:v>已解决</x:v>
      </x:c>
      <x:c r="E98" s="10" t="str">
        <x:v>gold通过，最新attempt未记录API终止、runner启动失败或评测基础设施终止；不代表原始全套测试零失败。</x:v>
      </x:c>
      <x:c r="F98" s="10" t="str"/>
      <x:c r="G98" s="2" t="str">
        <x:v>通过</x:v>
      </x:c>
      <x:c r="H98" s="2" t="str">
        <x:v>completed</x:v>
      </x:c>
      <x:c r="I98" s="11" t="n">
        <x:v>2</x:v>
      </x:c>
      <x:c r="J98" s="11" t="n">
        <x:v>1</x:v>
      </x:c>
      <x:c r="K98" s="11" t="str">
        <x:v>error</x:v>
      </x:c>
      <x:c r="L98" s="11" t="n">
        <x:v>16</x:v>
      </x:c>
      <x:c r="M98" s="11" t="n">
        <x:v>0</x:v>
      </x:c>
      <x:c r="N98" s="11" t="n">
        <x:v>58</x:v>
      </x:c>
      <x:c r="O98" s="11" t="n">
        <x:v>0</x:v>
      </x:c>
      <x:c r="P98" s="11" t="n">
        <x:v>278680</x:v>
      </x:c>
      <x:c r="Q98" s="11" t="n">
        <x:v>278680</x:v>
      </x:c>
      <x:c r="R98" s="11" t="n">
        <x:v>26</x:v>
      </x:c>
      <x:c r="S98" s="11" t="n">
        <x:v>26</x:v>
      </x:c>
      <x:c r="T98" s="11" t="n">
        <x:v>25</x:v>
      </x:c>
      <x:c r="U98" s="12" t="n">
        <x:v>68.676</x:v>
      </x:c>
      <x:c r="V98" s="9" t="str">
        <x:v>django/forms/widgets.py</x:v>
      </x:c>
      <x:c r="W98" s="9" t="str"/>
      <x:c r="X98" s="9" t="str">
        <x:v>task_output-wsl/lite-baseline-001/instances/django__django-11019/attempt-0002/state.json
task_output-wsl/lite-baseline-001/instances/django__django-11019/attempt-0002/state.json</x:v>
      </x:c>
      <x:c r="Y98" s="2" t="str">
        <x:v>thinking
text</x:v>
      </x:c>
      <x:c r="Z98" s="11" t="n">
        <x:v>472</x:v>
      </x:c>
      <x:c r="AA98" s="11" t="n">
        <x:v>0</x:v>
      </x:c>
    </x:row>
    <x:row r="99" ht="37" customHeight="1">
      <x:c r="A99" s="2" t="str">
        <x:v>django__django-11039</x:v>
      </x:c>
      <x:c r="B99" s="2" t="str">
        <x:v>django/django</x:v>
      </x:c>
      <x:c r="C99" s="2" t="str">
        <x:v>resolved</x:v>
      </x:c>
      <x:c r="D99" s="2" t="str">
        <x:v>已解决</x:v>
      </x:c>
      <x:c r="E99" s="10" t="str">
        <x:v>gold通过，最新attempt未记录API终止、runner启动失败或评测基础设施终止；不代表原始全套测试零失败。</x:v>
      </x:c>
      <x:c r="F99" s="10" t="str"/>
      <x:c r="G99" s="2" t="str">
        <x:v>通过</x:v>
      </x:c>
      <x:c r="H99" s="2" t="str">
        <x:v>completed</x:v>
      </x:c>
      <x:c r="I99" s="11" t="n">
        <x:v>2</x:v>
      </x:c>
      <x:c r="J99" s="11" t="n">
        <x:v>1</x:v>
      </x:c>
      <x:c r="K99" s="11" t="str">
        <x:v>error</x:v>
      </x:c>
      <x:c r="L99" s="11" t="n">
        <x:v>1</x:v>
      </x:c>
      <x:c r="M99" s="11" t="n">
        <x:v>0</x:v>
      </x:c>
      <x:c r="N99" s="11" t="n">
        <x:v>88</x:v>
      </x:c>
      <x:c r="O99" s="11" t="n">
        <x:v>0</x:v>
      </x:c>
      <x:c r="P99" s="11" t="n">
        <x:v>34165</x:v>
      </x:c>
      <x:c r="Q99" s="11" t="n">
        <x:v>34165</x:v>
      </x:c>
      <x:c r="R99" s="11" t="n">
        <x:v>8</x:v>
      </x:c>
      <x:c r="S99" s="11" t="n">
        <x:v>8</x:v>
      </x:c>
      <x:c r="T99" s="11" t="n">
        <x:v>8</x:v>
      </x:c>
      <x:c r="U99" s="12" t="n">
        <x:v>11.895</x:v>
      </x:c>
      <x:c r="V99" s="9" t="str">
        <x:v>django/core/management/commands/sqlmigrate.py</x:v>
      </x:c>
      <x:c r="W99" s="9" t="str"/>
      <x:c r="X99" s="9" t="str">
        <x:v>task_output-wsl/lite-baseline-001/instances/django__django-11039/attempt-0002/state.json
task_output-wsl/lite-baseline-001/instances/django__django-11039/attempt-0002/state.json</x:v>
      </x:c>
      <x:c r="Y99" s="2" t="str">
        <x:v>thinking
text</x:v>
      </x:c>
      <x:c r="Z99" s="11" t="n">
        <x:v>109</x:v>
      </x:c>
      <x:c r="AA99" s="11" t="n">
        <x:v>0</x:v>
      </x:c>
    </x:row>
    <x:row r="100" ht="37" customHeight="1">
      <x:c r="A100" s="2" t="str">
        <x:v>django__django-11049</x:v>
      </x:c>
      <x:c r="B100" s="2" t="str">
        <x:v>django/django</x:v>
      </x:c>
      <x:c r="C100" s="2" t="str">
        <x:v>resolved</x:v>
      </x:c>
      <x:c r="D100" s="2" t="str">
        <x:v>已解决</x:v>
      </x:c>
      <x:c r="E100" s="10" t="str">
        <x:v>gold通过，最新attempt未记录API终止、runner启动失败或评测基础设施终止；不代表原始全套测试零失败。</x:v>
      </x:c>
      <x:c r="F100" s="10" t="str"/>
      <x:c r="G100" s="2" t="str">
        <x:v>通过</x:v>
      </x:c>
      <x:c r="H100" s="2" t="str">
        <x:v>completed</x:v>
      </x:c>
      <x:c r="I100" s="11" t="n">
        <x:v>2</x:v>
      </x:c>
      <x:c r="J100" s="11" t="n">
        <x:v>1</x:v>
      </x:c>
      <x:c r="K100" s="11" t="str">
        <x:v>error</x:v>
      </x:c>
      <x:c r="L100" s="11" t="n">
        <x:v>1</x:v>
      </x:c>
      <x:c r="M100" s="11" t="n">
        <x:v>0</x:v>
      </x:c>
      <x:c r="N100" s="11" t="n">
        <x:v>8</x:v>
      </x:c>
      <x:c r="O100" s="11" t="n">
        <x:v>0</x:v>
      </x:c>
      <x:c r="P100" s="11" t="n">
        <x:v>186708</x:v>
      </x:c>
      <x:c r="Q100" s="11" t="n">
        <x:v>186708</x:v>
      </x:c>
      <x:c r="R100" s="11" t="n">
        <x:v>19</x:v>
      </x:c>
      <x:c r="S100" s="11" t="n">
        <x:v>19</x:v>
      </x:c>
      <x:c r="T100" s="11" t="n">
        <x:v>19</x:v>
      </x:c>
      <x:c r="U100" s="12" t="n">
        <x:v>55.38</x:v>
      </x:c>
      <x:c r="V100" s="9" t="str">
        <x:v>django/db/models/fields/__init__.py</x:v>
      </x:c>
      <x:c r="W100" s="9" t="str"/>
      <x:c r="X100" s="9" t="str">
        <x:v>task_output-wsl/lite-baseline-001/instances/django__django-11049/attempt-0002/state.json
task_output-wsl/lite-baseline-001/instances/django__django-11049/attempt-0002/state.json</x:v>
      </x:c>
      <x:c r="Y100" s="2" t="str">
        <x:v>thinking
text</x:v>
      </x:c>
      <x:c r="Z100" s="11" t="n">
        <x:v>183</x:v>
      </x:c>
      <x:c r="AA100" s="11" t="n">
        <x:v>0</x:v>
      </x:c>
    </x:row>
    <x:row r="101" ht="37" customHeight="1">
      <x:c r="A101" s="2" t="str">
        <x:v>django__django-11099</x:v>
      </x:c>
      <x:c r="B101" s="2" t="str">
        <x:v>django/django</x:v>
      </x:c>
      <x:c r="C101" s="2" t="str">
        <x:v>resolved</x:v>
      </x:c>
      <x:c r="D101" s="2" t="str">
        <x:v>已解决</x:v>
      </x:c>
      <x:c r="E101" s="10" t="str">
        <x:v>gold通过，最新attempt未记录API终止、runner启动失败或评测基础设施终止；不代表原始全套测试零失败。</x:v>
      </x:c>
      <x:c r="F101" s="10" t="str"/>
      <x:c r="G101" s="2" t="str">
        <x:v>通过</x:v>
      </x:c>
      <x:c r="H101" s="2" t="str">
        <x:v>completed</x:v>
      </x:c>
      <x:c r="I101" s="11" t="n">
        <x:v>2</x:v>
      </x:c>
      <x:c r="J101" s="11" t="n">
        <x:v>1</x:v>
      </x:c>
      <x:c r="K101" s="11" t="str">
        <x:v>error</x:v>
      </x:c>
      <x:c r="L101" s="11" t="n">
        <x:v>3</x:v>
      </x:c>
      <x:c r="M101" s="11" t="n">
        <x:v>0</x:v>
      </x:c>
      <x:c r="N101" s="11" t="n">
        <x:v>19</x:v>
      </x:c>
      <x:c r="O101" s="11" t="n">
        <x:v>0</x:v>
      </x:c>
      <x:c r="P101" s="11" t="n">
        <x:v>22763</x:v>
      </x:c>
      <x:c r="Q101" s="11" t="n">
        <x:v>22763</x:v>
      </x:c>
      <x:c r="R101" s="11" t="n">
        <x:v>6</x:v>
      </x:c>
      <x:c r="S101" s="11" t="n">
        <x:v>6</x:v>
      </x:c>
      <x:c r="T101" s="11" t="n">
        <x:v>6</x:v>
      </x:c>
      <x:c r="U101" s="12" t="n">
        <x:v>10.997</x:v>
      </x:c>
      <x:c r="V101" s="9" t="str">
        <x:v>django/contrib/auth/validators.py</x:v>
      </x:c>
      <x:c r="W101" s="9" t="str"/>
      <x:c r="X101" s="9" t="str">
        <x:v>task_output-wsl/lite-baseline-001/instances/django__django-11099/attempt-0002/state.json
task_output-wsl/lite-baseline-001/instances/django__django-11099/attempt-0002/state.json</x:v>
      </x:c>
      <x:c r="Y101" s="2" t="str">
        <x:v>thinking
text</x:v>
      </x:c>
      <x:c r="Z101" s="11" t="n">
        <x:v>158</x:v>
      </x:c>
      <x:c r="AA101" s="11" t="n">
        <x:v>0</x:v>
      </x:c>
    </x:row>
    <x:row r="102" ht="37" customHeight="1">
      <x:c r="A102" s="2" t="str">
        <x:v>django__django-11133</x:v>
      </x:c>
      <x:c r="B102" s="2" t="str">
        <x:v>django/django</x:v>
      </x:c>
      <x:c r="C102" s="2" t="str">
        <x:v>resolved</x:v>
      </x:c>
      <x:c r="D102" s="2" t="str">
        <x:v>已解决</x:v>
      </x:c>
      <x:c r="E102" s="10" t="str">
        <x:v>gold通过，最新attempt未记录API终止、runner启动失败或评测基础设施终止；不代表原始全套测试零失败。</x:v>
      </x:c>
      <x:c r="F102" s="10" t="str"/>
      <x:c r="G102" s="2" t="str">
        <x:v>通过</x:v>
      </x:c>
      <x:c r="H102" s="2" t="str">
        <x:v>completed</x:v>
      </x:c>
      <x:c r="I102" s="11" t="n">
        <x:v>2</x:v>
      </x:c>
      <x:c r="J102" s="11" t="n">
        <x:v>1</x:v>
      </x:c>
      <x:c r="K102" s="11" t="str">
        <x:v>error</x:v>
      </x:c>
      <x:c r="L102" s="11" t="n">
        <x:v>1</x:v>
      </x:c>
      <x:c r="M102" s="11" t="n">
        <x:v>0</x:v>
      </x:c>
      <x:c r="N102" s="11" t="n">
        <x:v>64</x:v>
      </x:c>
      <x:c r="O102" s="11" t="n">
        <x:v>0</x:v>
      </x:c>
      <x:c r="P102" s="11" t="n">
        <x:v>51359</x:v>
      </x:c>
      <x:c r="Q102" s="11" t="n">
        <x:v>51359</x:v>
      </x:c>
      <x:c r="R102" s="11" t="n">
        <x:v>7</x:v>
      </x:c>
      <x:c r="S102" s="11" t="n">
        <x:v>7</x:v>
      </x:c>
      <x:c r="T102" s="11" t="n">
        <x:v>7</x:v>
      </x:c>
      <x:c r="U102" s="12" t="n">
        <x:v>17.935</x:v>
      </x:c>
      <x:c r="V102" s="9" t="str">
        <x:v>django/http/response.py</x:v>
      </x:c>
      <x:c r="W102" s="9" t="str"/>
      <x:c r="X102" s="9" t="str">
        <x:v>task_output-wsl/lite-baseline-001/instances/django__django-11133/attempt-0002/state.json
task_output-wsl/lite-baseline-001/instances/django__django-11133/attempt-0002/state.json</x:v>
      </x:c>
      <x:c r="Y102" s="2" t="str">
        <x:v>thinking
text</x:v>
      </x:c>
      <x:c r="Z102" s="11" t="n">
        <x:v>798</x:v>
      </x:c>
      <x:c r="AA102" s="11" t="n">
        <x:v>0</x:v>
      </x:c>
    </x:row>
    <x:row r="103" ht="37" customHeight="1">
      <x:c r="A103" s="2" t="str">
        <x:v>django__django-11179</x:v>
      </x:c>
      <x:c r="B103" s="2" t="str">
        <x:v>django/django</x:v>
      </x:c>
      <x:c r="C103" s="2" t="str">
        <x:v>resolved</x:v>
      </x:c>
      <x:c r="D103" s="2" t="str">
        <x:v>已解决</x:v>
      </x:c>
      <x:c r="E103" s="10" t="str">
        <x:v>gold通过，最新attempt未记录API终止、runner启动失败或评测基础设施终止；不代表原始全套测试零失败。</x:v>
      </x:c>
      <x:c r="F103" s="10" t="str"/>
      <x:c r="G103" s="2" t="str">
        <x:v>通过</x:v>
      </x:c>
      <x:c r="H103" s="2" t="str">
        <x:v>completed</x:v>
      </x:c>
      <x:c r="I103" s="11" t="n">
        <x:v>2</x:v>
      </x:c>
      <x:c r="J103" s="11" t="n">
        <x:v>1</x:v>
      </x:c>
      <x:c r="K103" s="11" t="str">
        <x:v>error</x:v>
      </x:c>
      <x:c r="L103" s="11" t="n">
        <x:v>1</x:v>
      </x:c>
      <x:c r="M103" s="11" t="n">
        <x:v>0</x:v>
      </x:c>
      <x:c r="N103" s="11" t="n">
        <x:v>40</x:v>
      </x:c>
      <x:c r="O103" s="11" t="n">
        <x:v>0</x:v>
      </x:c>
      <x:c r="P103" s="11" t="n">
        <x:v>55632</x:v>
      </x:c>
      <x:c r="Q103" s="11" t="n">
        <x:v>55632</x:v>
      </x:c>
      <x:c r="R103" s="11" t="n">
        <x:v>9</x:v>
      </x:c>
      <x:c r="S103" s="11" t="n">
        <x:v>9</x:v>
      </x:c>
      <x:c r="T103" s="11" t="n">
        <x:v>9</x:v>
      </x:c>
      <x:c r="U103" s="12" t="n">
        <x:v>19.849</x:v>
      </x:c>
      <x:c r="V103" s="9" t="str">
        <x:v>django/db/models/deletion.py</x:v>
      </x:c>
      <x:c r="W103" s="9" t="str"/>
      <x:c r="X103" s="9" t="str">
        <x:v>task_output-wsl/lite-baseline-001/instances/django__django-11179/attempt-0002/state.json
task_output-wsl/lite-baseline-001/instances/django__django-11179/attempt-0002/state.json</x:v>
      </x:c>
      <x:c r="Y103" s="2" t="str">
        <x:v>thinking
text</x:v>
      </x:c>
      <x:c r="Z103" s="11" t="n">
        <x:v>478</x:v>
      </x:c>
      <x:c r="AA103" s="11" t="n">
        <x:v>0</x:v>
      </x:c>
    </x:row>
    <x:row r="104" ht="37" customHeight="1">
      <x:c r="A104" s="2" t="str">
        <x:v>django__django-11283</x:v>
      </x:c>
      <x:c r="B104" s="2" t="str">
        <x:v>django/django</x:v>
      </x:c>
      <x:c r="C104" s="2" t="str">
        <x:v>resolved</x:v>
      </x:c>
      <x:c r="D104" s="2" t="str">
        <x:v>已解决</x:v>
      </x:c>
      <x:c r="E104" s="10" t="str">
        <x:v>gold通过，最新attempt未记录API终止、runner启动失败或评测基础设施终止；不代表原始全套测试零失败。</x:v>
      </x:c>
      <x:c r="F104" s="10" t="str"/>
      <x:c r="G104" s="2" t="str">
        <x:v>通过</x:v>
      </x:c>
      <x:c r="H104" s="2" t="str">
        <x:v>completed</x:v>
      </x:c>
      <x:c r="I104" s="11" t="n">
        <x:v>1</x:v>
      </x:c>
      <x:c r="J104" s="11" t="n">
        <x:v>1</x:v>
      </x:c>
      <x:c r="K104" s="11" t="str">
        <x:v>resolved</x:v>
      </x:c>
      <x:c r="L104" s="11" t="n">
        <x:v>1</x:v>
      </x:c>
      <x:c r="M104" s="11" t="n">
        <x:v>0</x:v>
      </x:c>
      <x:c r="N104" s="11" t="n">
        <x:v>8</x:v>
      </x:c>
      <x:c r="O104" s="11" t="n">
        <x:v>0</x:v>
      </x:c>
      <x:c r="P104" s="11" t="n">
        <x:v>277111</x:v>
      </x:c>
      <x:c r="Q104" s="11" t="n">
        <x:v>277111</x:v>
      </x:c>
      <x:c r="R104" s="11" t="n">
        <x:v>28</x:v>
      </x:c>
      <x:c r="S104" s="11" t="n">
        <x:v>28</x:v>
      </x:c>
      <x:c r="T104" s="11" t="n">
        <x:v>27</x:v>
      </x:c>
      <x:c r="U104" s="12" t="n">
        <x:v>90.979</x:v>
      </x:c>
      <x:c r="V104" s="9" t="str">
        <x:v>django/contrib/auth/migrations/0011_update_proxy_permissions.py</x:v>
      </x:c>
      <x:c r="W104" s="9" t="str"/>
      <x:c r="X104" s="9" t="str">
        <x:v>task_output-wsl/lite-baseline-001/instances/django__django-11283/attempt-0001/state.json
task_output-wsl/lite-baseline-001/instances/django__django-11283/attempt-0001/state.json</x:v>
      </x:c>
      <x:c r="Y104" s="2" t="str">
        <x:v>thinking
text</x:v>
      </x:c>
      <x:c r="Z104" s="11" t="n">
        <x:v>199</x:v>
      </x:c>
      <x:c r="AA104" s="11" t="n">
        <x:v>0</x:v>
      </x:c>
    </x:row>
    <x:row r="105" ht="37" customHeight="1">
      <x:c r="A105" s="2" t="str">
        <x:v>django__django-11422</x:v>
      </x:c>
      <x:c r="B105" s="2" t="str">
        <x:v>django/django</x:v>
      </x:c>
      <x:c r="C105" s="2" t="str">
        <x:v>resolved</x:v>
      </x:c>
      <x:c r="D105" s="2" t="str">
        <x:v>已解决</x:v>
      </x:c>
      <x:c r="E105" s="10" t="str">
        <x:v>gold通过，最新attempt未记录API终止、runner启动失败或评测基础设施终止；不代表原始全套测试零失败。</x:v>
      </x:c>
      <x:c r="F105" s="10" t="str"/>
      <x:c r="G105" s="2" t="str">
        <x:v>通过</x:v>
      </x:c>
      <x:c r="H105" s="2" t="str">
        <x:v>completed</x:v>
      </x:c>
      <x:c r="I105" s="11" t="n">
        <x:v>2</x:v>
      </x:c>
      <x:c r="J105" s="11" t="n">
        <x:v>1</x:v>
      </x:c>
      <x:c r="K105" s="11" t="str">
        <x:v>error</x:v>
      </x:c>
      <x:c r="L105" s="11" t="n">
        <x:v>1</x:v>
      </x:c>
      <x:c r="M105" s="11" t="n">
        <x:v>0</x:v>
      </x:c>
      <x:c r="N105" s="11" t="n">
        <x:v>46</x:v>
      </x:c>
      <x:c r="O105" s="11" t="n">
        <x:v>0</x:v>
      </x:c>
      <x:c r="P105" s="11" t="n">
        <x:v>321773</x:v>
      </x:c>
      <x:c r="Q105" s="11" t="n">
        <x:v>321773</x:v>
      </x:c>
      <x:c r="R105" s="11" t="n">
        <x:v>29</x:v>
      </x:c>
      <x:c r="S105" s="11" t="n">
        <x:v>29</x:v>
      </x:c>
      <x:c r="T105" s="11" t="n">
        <x:v>28</x:v>
      </x:c>
      <x:c r="U105" s="12" t="n">
        <x:v>72.508</x:v>
      </x:c>
      <x:c r="V105" s="9" t="str">
        <x:v>django/utils/autoreload.py</x:v>
      </x:c>
      <x:c r="W105" s="9" t="str"/>
      <x:c r="X105" s="9" t="str">
        <x:v>task_output-wsl/lite-baseline-001/instances/django__django-11422/attempt-0002/state.json
task_output-wsl/lite-baseline-001/instances/django__django-11422/attempt-0002/state.json</x:v>
      </x:c>
      <x:c r="Y105" s="2" t="str">
        <x:v>thinking
text</x:v>
      </x:c>
      <x:c r="Z105" s="11" t="n">
        <x:v>210</x:v>
      </x:c>
      <x:c r="AA105" s="11" t="n">
        <x:v>0</x:v>
      </x:c>
    </x:row>
    <x:row r="106" ht="37" customHeight="1">
      <x:c r="A106" s="2" t="str">
        <x:v>django__django-11583</x:v>
      </x:c>
      <x:c r="B106" s="2" t="str">
        <x:v>django/django</x:v>
      </x:c>
      <x:c r="C106" s="2" t="str">
        <x:v>resolved</x:v>
      </x:c>
      <x:c r="D106" s="2" t="str">
        <x:v>已解决</x:v>
      </x:c>
      <x:c r="E106" s="10" t="str">
        <x:v>gold通过，最新attempt未记录API终止、runner启动失败或评测基础设施终止；不代表原始全套测试零失败。</x:v>
      </x:c>
      <x:c r="F106" s="10" t="str"/>
      <x:c r="G106" s="2" t="str">
        <x:v>通过</x:v>
      </x:c>
      <x:c r="H106" s="2" t="str">
        <x:v>completed</x:v>
      </x:c>
      <x:c r="I106" s="11" t="n">
        <x:v>2</x:v>
      </x:c>
      <x:c r="J106" s="11" t="n">
        <x:v>1</x:v>
      </x:c>
      <x:c r="K106" s="11" t="str">
        <x:v>error</x:v>
      </x:c>
      <x:c r="L106" s="11" t="n">
        <x:v>2</x:v>
      </x:c>
      <x:c r="M106" s="11" t="n">
        <x:v>0</x:v>
      </x:c>
      <x:c r="N106" s="11" t="n">
        <x:v>50</x:v>
      </x:c>
      <x:c r="O106" s="11" t="n">
        <x:v>0</x:v>
      </x:c>
      <x:c r="P106" s="11" t="n">
        <x:v>135863</x:v>
      </x:c>
      <x:c r="Q106" s="11" t="n">
        <x:v>135863</x:v>
      </x:c>
      <x:c r="R106" s="11" t="n">
        <x:v>14</x:v>
      </x:c>
      <x:c r="S106" s="11" t="n">
        <x:v>14</x:v>
      </x:c>
      <x:c r="T106" s="11" t="n">
        <x:v>13</x:v>
      </x:c>
      <x:c r="U106" s="12" t="n">
        <x:v>44.969</x:v>
      </x:c>
      <x:c r="V106" s="9" t="str">
        <x:v>django/utils/autoreload.py</x:v>
      </x:c>
      <x:c r="W106" s="9" t="str"/>
      <x:c r="X106" s="9" t="str">
        <x:v>task_output-wsl/lite-baseline-001/instances/django__django-11583/attempt-0002/state.json
task_output-wsl/lite-baseline-001/instances/django__django-11583/attempt-0002/state.json</x:v>
      </x:c>
      <x:c r="Y106" s="2" t="str">
        <x:v>thinking
text</x:v>
      </x:c>
      <x:c r="Z106" s="11" t="n">
        <x:v>212</x:v>
      </x:c>
      <x:c r="AA106" s="11" t="n">
        <x:v>0</x:v>
      </x:c>
    </x:row>
    <x:row r="107" ht="37" customHeight="1">
      <x:c r="A107" s="2" t="str">
        <x:v>django__django-11620</x:v>
      </x:c>
      <x:c r="B107" s="2" t="str">
        <x:v>django/django</x:v>
      </x:c>
      <x:c r="C107" s="2" t="str">
        <x:v>resolved</x:v>
      </x:c>
      <x:c r="D107" s="2" t="str">
        <x:v>已解决</x:v>
      </x:c>
      <x:c r="E107" s="10" t="str">
        <x:v>gold通过，最新attempt未记录API终止、runner启动失败或评测基础设施终止；不代表原始全套测试零失败。</x:v>
      </x:c>
      <x:c r="F107" s="10" t="str"/>
      <x:c r="G107" s="2" t="str">
        <x:v>通过</x:v>
      </x:c>
      <x:c r="H107" s="2" t="str">
        <x:v>completed</x:v>
      </x:c>
      <x:c r="I107" s="11" t="n">
        <x:v>2</x:v>
      </x:c>
      <x:c r="J107" s="11" t="n">
        <x:v>1</x:v>
      </x:c>
      <x:c r="K107" s="11" t="str">
        <x:v>error</x:v>
      </x:c>
      <x:c r="L107" s="11" t="n">
        <x:v>1</x:v>
      </x:c>
      <x:c r="M107" s="11" t="n">
        <x:v>0</x:v>
      </x:c>
      <x:c r="N107" s="11" t="n">
        <x:v>66</x:v>
      </x:c>
      <x:c r="O107" s="11" t="n">
        <x:v>0</x:v>
      </x:c>
      <x:c r="P107" s="11" t="n">
        <x:v>213838</x:v>
      </x:c>
      <x:c r="Q107" s="11" t="n">
        <x:v>213838</x:v>
      </x:c>
      <x:c r="R107" s="11" t="n">
        <x:v>21</x:v>
      </x:c>
      <x:c r="S107" s="11" t="n">
        <x:v>21</x:v>
      </x:c>
      <x:c r="T107" s="11" t="n">
        <x:v>21</x:v>
      </x:c>
      <x:c r="U107" s="12" t="n">
        <x:v>49.573</x:v>
      </x:c>
      <x:c r="V107" s="9" t="str">
        <x:v>django/views/debug.py</x:v>
      </x:c>
      <x:c r="W107" s="9" t="str"/>
      <x:c r="X107" s="9" t="str">
        <x:v>task_output-wsl/lite-baseline-001/instances/django__django-11620/attempt-0002/state.json
task_output-wsl/lite-baseline-001/instances/django__django-11620/attempt-0002/state.json</x:v>
      </x:c>
      <x:c r="Y107" s="2" t="str">
        <x:v>thinking
text</x:v>
      </x:c>
      <x:c r="Z107" s="11" t="n">
        <x:v>232</x:v>
      </x:c>
      <x:c r="AA107" s="11" t="n">
        <x:v>0</x:v>
      </x:c>
    </x:row>
    <x:row r="108" ht="37" customHeight="1">
      <x:c r="A108" s="2" t="str">
        <x:v>django__django-11797</x:v>
      </x:c>
      <x:c r="B108" s="2" t="str">
        <x:v>django/django</x:v>
      </x:c>
      <x:c r="C108" s="2" t="str">
        <x:v>resolved</x:v>
      </x:c>
      <x:c r="D108" s="2" t="str">
        <x:v>已解决</x:v>
      </x:c>
      <x:c r="E108" s="10" t="str">
        <x:v>gold通过，最新attempt未记录API终止、runner启动失败或评测基础设施终止；不代表原始全套测试零失败。</x:v>
      </x:c>
      <x:c r="F108" s="10" t="str"/>
      <x:c r="G108" s="2" t="str">
        <x:v>通过</x:v>
      </x:c>
      <x:c r="H108" s="2" t="str">
        <x:v>completed</x:v>
      </x:c>
      <x:c r="I108" s="11" t="n">
        <x:v>2</x:v>
      </x:c>
      <x:c r="J108" s="11" t="n">
        <x:v>1</x:v>
      </x:c>
      <x:c r="K108" s="11" t="str">
        <x:v>error</x:v>
      </x:c>
      <x:c r="L108" s="11" t="n">
        <x:v>1</x:v>
      </x:c>
      <x:c r="M108" s="11" t="n">
        <x:v>0</x:v>
      </x:c>
      <x:c r="N108" s="11" t="n">
        <x:v>38</x:v>
      </x:c>
      <x:c r="O108" s="11" t="n">
        <x:v>0</x:v>
      </x:c>
      <x:c r="P108" s="11" t="n">
        <x:v>644866</x:v>
      </x:c>
      <x:c r="Q108" s="11" t="n">
        <x:v>644866</x:v>
      </x:c>
      <x:c r="R108" s="11" t="n">
        <x:v>53</x:v>
      </x:c>
      <x:c r="S108" s="11" t="n">
        <x:v>53</x:v>
      </x:c>
      <x:c r="T108" s="11" t="n">
        <x:v>53</x:v>
      </x:c>
      <x:c r="U108" s="12" t="n">
        <x:v>270.015</x:v>
      </x:c>
      <x:c r="V108" s="9" t="str">
        <x:v>django/db/models/lookups.py</x:v>
      </x:c>
      <x:c r="W108" s="9" t="str"/>
      <x:c r="X108" s="9" t="str">
        <x:v>task_output-wsl/lite-baseline-001/instances/django__django-11797/attempt-0002/state.json
task_output-wsl/lite-baseline-001/instances/django__django-11797/attempt-0002/state.json</x:v>
      </x:c>
      <x:c r="Y108" s="2" t="str">
        <x:v>thinking
text</x:v>
      </x:c>
      <x:c r="Z108" s="11" t="n">
        <x:v>206</x:v>
      </x:c>
      <x:c r="AA108" s="11" t="n">
        <x:v>0</x:v>
      </x:c>
    </x:row>
    <x:row r="109" ht="51" customHeight="1">
      <x:c r="A109" s="2" t="str">
        <x:v>django__django-11905</x:v>
      </x:c>
      <x:c r="B109" s="2" t="str">
        <x:v>django/django</x:v>
      </x:c>
      <x:c r="C109" s="2" t="str">
        <x:v>resolved</x:v>
      </x:c>
      <x:c r="D109" s="2" t="str">
        <x:v>已解决</x:v>
      </x:c>
      <x:c r="E109" s="10" t="str">
        <x:v>gold通过，最新attempt未记录API终止、runner启动失败或评测基础设施终止；不代表原始全套测试零失败。</x:v>
      </x:c>
      <x:c r="F109" s="10" t="str"/>
      <x:c r="G109" s="2" t="str">
        <x:v>通过</x:v>
      </x:c>
      <x:c r="H109" s="2" t="str">
        <x:v>completed</x:v>
      </x:c>
      <x:c r="I109" s="11" t="n">
        <x:v>2</x:v>
      </x:c>
      <x:c r="J109" s="11" t="n">
        <x:v>1</x:v>
      </x:c>
      <x:c r="K109" s="11" t="str">
        <x:v>error</x:v>
      </x:c>
      <x:c r="L109" s="11" t="n">
        <x:v>2</x:v>
      </x:c>
      <x:c r="M109" s="11" t="n">
        <x:v>0</x:v>
      </x:c>
      <x:c r="N109" s="11" t="n">
        <x:v>38</x:v>
      </x:c>
      <x:c r="O109" s="11" t="n">
        <x:v>0</x:v>
      </x:c>
      <x:c r="P109" s="11" t="n">
        <x:v>338419</x:v>
      </x:c>
      <x:c r="Q109" s="11" t="n">
        <x:v>338419</x:v>
      </x:c>
      <x:c r="R109" s="11" t="n">
        <x:v>34</x:v>
      </x:c>
      <x:c r="S109" s="11" t="n">
        <x:v>34</x:v>
      </x:c>
      <x:c r="T109" s="11" t="n">
        <x:v>33</x:v>
      </x:c>
      <x:c r="U109" s="12" t="n">
        <x:v>92.305</x:v>
      </x:c>
      <x:c r="V109" s="9" t="str">
        <x:v>django/db/models/lookups.py
docs/ref/models/querysets.txt
docs/releases/3.1.txt</x:v>
      </x:c>
      <x:c r="W109" s="9" t="str"/>
      <x:c r="X109" s="9" t="str">
        <x:v>task_output-wsl/lite-baseline-001/instances/django__django-11905/attempt-0002/state.json
task_output-wsl/lite-baseline-001/instances/django__django-11905/attempt-0002/state.json</x:v>
      </x:c>
      <x:c r="Y109" s="2" t="str">
        <x:v>thinking
text</x:v>
      </x:c>
      <x:c r="Z109" s="11" t="n">
        <x:v>415</x:v>
      </x:c>
      <x:c r="AA109" s="11" t="n">
        <x:v>0</x:v>
      </x:c>
    </x:row>
    <x:row r="110" ht="37" customHeight="1">
      <x:c r="A110" s="2" t="str">
        <x:v>django__django-11964</x:v>
      </x:c>
      <x:c r="B110" s="2" t="str">
        <x:v>django/django</x:v>
      </x:c>
      <x:c r="C110" s="2" t="str">
        <x:v>resolved</x:v>
      </x:c>
      <x:c r="D110" s="2" t="str">
        <x:v>已解决</x:v>
      </x:c>
      <x:c r="E110" s="10" t="str">
        <x:v>gold通过，最新attempt未记录API终止、runner启动失败或评测基础设施终止；不代表原始全套测试零失败。</x:v>
      </x:c>
      <x:c r="F110" s="10" t="str"/>
      <x:c r="G110" s="2" t="str">
        <x:v>通过</x:v>
      </x:c>
      <x:c r="H110" s="2" t="str">
        <x:v>completed</x:v>
      </x:c>
      <x:c r="I110" s="11" t="n">
        <x:v>1</x:v>
      </x:c>
      <x:c r="J110" s="11" t="n">
        <x:v>1</x:v>
      </x:c>
      <x:c r="K110" s="11" t="str">
        <x:v>resolved</x:v>
      </x:c>
      <x:c r="L110" s="11" t="n">
        <x:v>2</x:v>
      </x:c>
      <x:c r="M110" s="11" t="n">
        <x:v>0</x:v>
      </x:c>
      <x:c r="N110" s="11" t="n">
        <x:v>15</x:v>
      </x:c>
      <x:c r="O110" s="11" t="n">
        <x:v>0</x:v>
      </x:c>
      <x:c r="P110" s="11" t="n">
        <x:v>311537</x:v>
      </x:c>
      <x:c r="Q110" s="11" t="n">
        <x:v>311537</x:v>
      </x:c>
      <x:c r="R110" s="11" t="n">
        <x:v>27</x:v>
      </x:c>
      <x:c r="S110" s="11" t="n">
        <x:v>27</x:v>
      </x:c>
      <x:c r="T110" s="11" t="n">
        <x:v>27</x:v>
      </x:c>
      <x:c r="U110" s="12" t="n">
        <x:v>62.152</x:v>
      </x:c>
      <x:c r="V110" s="9" t="str">
        <x:v>django/db/models/enums.py</x:v>
      </x:c>
      <x:c r="W110" s="9" t="str"/>
      <x:c r="X110" s="9" t="str">
        <x:v>task_output-wsl/lite-baseline-001/instances/django__django-11964/attempt-0001/state.json
task_output-wsl/lite-baseline-001/instances/django__django-11964/attempt-0001/state.json</x:v>
      </x:c>
      <x:c r="Y110" s="2" t="str">
        <x:v>thinking
text</x:v>
      </x:c>
      <x:c r="Z110" s="11" t="n">
        <x:v>190</x:v>
      </x:c>
      <x:c r="AA110" s="11" t="n">
        <x:v>0</x:v>
      </x:c>
    </x:row>
    <x:row r="111" ht="37" customHeight="1">
      <x:c r="A111" s="2" t="str">
        <x:v>django__django-11999</x:v>
      </x:c>
      <x:c r="B111" s="2" t="str">
        <x:v>django/django</x:v>
      </x:c>
      <x:c r="C111" s="2" t="str">
        <x:v>resolved</x:v>
      </x:c>
      <x:c r="D111" s="2" t="str">
        <x:v>已解决</x:v>
      </x:c>
      <x:c r="E111" s="10" t="str">
        <x:v>gold通过，最新attempt未记录API终止、runner启动失败或评测基础设施终止；不代表原始全套测试零失败。</x:v>
      </x:c>
      <x:c r="F111" s="10" t="str"/>
      <x:c r="G111" s="2" t="str">
        <x:v>通过</x:v>
      </x:c>
      <x:c r="H111" s="2" t="str">
        <x:v>completed</x:v>
      </x:c>
      <x:c r="I111" s="11" t="n">
        <x:v>1</x:v>
      </x:c>
      <x:c r="J111" s="11" t="n">
        <x:v>1</x:v>
      </x:c>
      <x:c r="K111" s="11" t="str">
        <x:v>resolved</x:v>
      </x:c>
      <x:c r="L111" s="11" t="n">
        <x:v>1</x:v>
      </x:c>
      <x:c r="M111" s="11" t="n">
        <x:v>0</x:v>
      </x:c>
      <x:c r="N111" s="11" t="n">
        <x:v>30</x:v>
      </x:c>
      <x:c r="O111" s="11" t="n">
        <x:v>0</x:v>
      </x:c>
      <x:c r="P111" s="11" t="n">
        <x:v>121565</x:v>
      </x:c>
      <x:c r="Q111" s="11" t="n">
        <x:v>121565</x:v>
      </x:c>
      <x:c r="R111" s="11" t="n">
        <x:v>14</x:v>
      </x:c>
      <x:c r="S111" s="11" t="n">
        <x:v>14</x:v>
      </x:c>
      <x:c r="T111" s="11" t="n">
        <x:v>14</x:v>
      </x:c>
      <x:c r="U111" s="12" t="n">
        <x:v>30.895</x:v>
      </x:c>
      <x:c r="V111" s="9" t="str">
        <x:v>django/db/models/fields/__init__.py</x:v>
      </x:c>
      <x:c r="W111" s="9" t="str"/>
      <x:c r="X111" s="9" t="str">
        <x:v>task_output-wsl/lite-baseline-001/instances/django__django-11999/attempt-0001/state.json
task_output-wsl/lite-baseline-001/instances/django__django-11999/attempt-0001/state.json</x:v>
      </x:c>
      <x:c r="Y111" s="2" t="str">
        <x:v>thinking
text</x:v>
      </x:c>
      <x:c r="Z111" s="11" t="n">
        <x:v>403</x:v>
      </x:c>
      <x:c r="AA111" s="11" t="n">
        <x:v>0</x:v>
      </x:c>
    </x:row>
    <x:row r="112" ht="37" customHeight="1">
      <x:c r="A112" s="2" t="str">
        <x:v>django__django-12113</x:v>
      </x:c>
      <x:c r="B112" s="2" t="str">
        <x:v>django/django</x:v>
      </x:c>
      <x:c r="C112" s="2" t="str">
        <x:v>resolved</x:v>
      </x:c>
      <x:c r="D112" s="2" t="str">
        <x:v>已解决</x:v>
      </x:c>
      <x:c r="E112" s="10" t="str">
        <x:v>gold通过，最新attempt未记录API终止、runner启动失败或评测基础设施终止；不代表原始全套测试零失败。</x:v>
      </x:c>
      <x:c r="F112" s="10" t="str"/>
      <x:c r="G112" s="2" t="str">
        <x:v>通过</x:v>
      </x:c>
      <x:c r="H112" s="2" t="str">
        <x:v>completed</x:v>
      </x:c>
      <x:c r="I112" s="11" t="n">
        <x:v>1</x:v>
      </x:c>
      <x:c r="J112" s="11" t="n">
        <x:v>1</x:v>
      </x:c>
      <x:c r="K112" s="11" t="str">
        <x:v>resolved</x:v>
      </x:c>
      <x:c r="L112" s="11" t="n">
        <x:v>1</x:v>
      </x:c>
      <x:c r="M112" s="11" t="n">
        <x:v>0</x:v>
      </x:c>
      <x:c r="N112" s="11" t="n">
        <x:v>0</x:v>
      </x:c>
      <x:c r="O112" s="11" t="n">
        <x:v>0</x:v>
      </x:c>
      <x:c r="P112" s="11" t="n">
        <x:v>285437</x:v>
      </x:c>
      <x:c r="Q112" s="11" t="n">
        <x:v>285437</x:v>
      </x:c>
      <x:c r="R112" s="11" t="n">
        <x:v>29</x:v>
      </x:c>
      <x:c r="S112" s="11" t="n">
        <x:v>29</x:v>
      </x:c>
      <x:c r="T112" s="11" t="n">
        <x:v>28</x:v>
      </x:c>
      <x:c r="U112" s="12" t="n">
        <x:v>68.301</x:v>
      </x:c>
      <x:c r="V112" s="9" t="str">
        <x:v>django/db/backends/sqlite3/creation.py</x:v>
      </x:c>
      <x:c r="W112" s="9" t="str"/>
      <x:c r="X112" s="9" t="str">
        <x:v>task_output-wsl/lite-baseline-001/instances/django__django-12113/attempt-0001/state.json
task_output-wsl/lite-baseline-001/instances/django__django-12113/attempt-0001/state.json</x:v>
      </x:c>
      <x:c r="Y112" s="2" t="str">
        <x:v>thinking
text</x:v>
      </x:c>
      <x:c r="Z112" s="11" t="n">
        <x:v>305</x:v>
      </x:c>
      <x:c r="AA112" s="11" t="n">
        <x:v>0</x:v>
      </x:c>
    </x:row>
    <x:row r="113" ht="37" customHeight="1">
      <x:c r="A113" s="2" t="str">
        <x:v>django__django-12184</x:v>
      </x:c>
      <x:c r="B113" s="2" t="str">
        <x:v>django/django</x:v>
      </x:c>
      <x:c r="C113" s="2" t="str">
        <x:v>resolved</x:v>
      </x:c>
      <x:c r="D113" s="2" t="str">
        <x:v>已解决</x:v>
      </x:c>
      <x:c r="E113" s="10" t="str">
        <x:v>gold通过，最新attempt未记录API终止、runner启动失败或评测基础设施终止；不代表原始全套测试零失败。</x:v>
      </x:c>
      <x:c r="F113" s="10" t="str"/>
      <x:c r="G113" s="2" t="str">
        <x:v>通过</x:v>
      </x:c>
      <x:c r="H113" s="2" t="str">
        <x:v>completed</x:v>
      </x:c>
      <x:c r="I113" s="11" t="n">
        <x:v>1</x:v>
      </x:c>
      <x:c r="J113" s="11" t="n">
        <x:v>1</x:v>
      </x:c>
      <x:c r="K113" s="11" t="str">
        <x:v>resolved</x:v>
      </x:c>
      <x:c r="L113" s="11" t="n">
        <x:v>1</x:v>
      </x:c>
      <x:c r="M113" s="11" t="n">
        <x:v>0</x:v>
      </x:c>
      <x:c r="N113" s="11" t="n">
        <x:v>25</x:v>
      </x:c>
      <x:c r="O113" s="11" t="n">
        <x:v>0</x:v>
      </x:c>
      <x:c r="P113" s="11" t="n">
        <x:v>160665</x:v>
      </x:c>
      <x:c r="Q113" s="11" t="n">
        <x:v>160665</x:v>
      </x:c>
      <x:c r="R113" s="11" t="n">
        <x:v>15</x:v>
      </x:c>
      <x:c r="S113" s="11" t="n">
        <x:v>15</x:v>
      </x:c>
      <x:c r="T113" s="11" t="n">
        <x:v>15</x:v>
      </x:c>
      <x:c r="U113" s="12" t="n">
        <x:v>31.662</x:v>
      </x:c>
      <x:c r="V113" s="9" t="str">
        <x:v>django/urls/resolvers.py</x:v>
      </x:c>
      <x:c r="W113" s="9" t="str"/>
      <x:c r="X113" s="9" t="str">
        <x:v>task_output-wsl/lite-baseline-001/instances/django__django-12184/attempt-0001/state.json
task_output-wsl/lite-baseline-001/instances/django__django-12184/attempt-0001/state.json</x:v>
      </x:c>
      <x:c r="Y113" s="2" t="str">
        <x:v>thinking
text</x:v>
      </x:c>
      <x:c r="Z113" s="11" t="n">
        <x:v>230</x:v>
      </x:c>
      <x:c r="AA113" s="11" t="n">
        <x:v>0</x:v>
      </x:c>
    </x:row>
    <x:row r="114" ht="37" customHeight="1">
      <x:c r="A114" s="2" t="str">
        <x:v>django__django-12284</x:v>
      </x:c>
      <x:c r="B114" s="2" t="str">
        <x:v>django/django</x:v>
      </x:c>
      <x:c r="C114" s="2" t="str">
        <x:v>resolved</x:v>
      </x:c>
      <x:c r="D114" s="2" t="str">
        <x:v>已解决</x:v>
      </x:c>
      <x:c r="E114" s="10" t="str">
        <x:v>gold通过，最新attempt未记录API终止、runner启动失败或评测基础设施终止；不代表原始全套测试零失败。</x:v>
      </x:c>
      <x:c r="F114" s="10" t="str"/>
      <x:c r="G114" s="2" t="str">
        <x:v>通过</x:v>
      </x:c>
      <x:c r="H114" s="2" t="str">
        <x:v>completed</x:v>
      </x:c>
      <x:c r="I114" s="11" t="n">
        <x:v>1</x:v>
      </x:c>
      <x:c r="J114" s="11" t="n">
        <x:v>1</x:v>
      </x:c>
      <x:c r="K114" s="11" t="str">
        <x:v>resolved</x:v>
      </x:c>
      <x:c r="L114" s="11" t="n">
        <x:v>1</x:v>
      </x:c>
      <x:c r="M114" s="11" t="n">
        <x:v>0</x:v>
      </x:c>
      <x:c r="N114" s="11" t="n">
        <x:v>31</x:v>
      </x:c>
      <x:c r="O114" s="11" t="n">
        <x:v>0</x:v>
      </x:c>
      <x:c r="P114" s="11" t="n">
        <x:v>144580</x:v>
      </x:c>
      <x:c r="Q114" s="11" t="n">
        <x:v>144580</x:v>
      </x:c>
      <x:c r="R114" s="11" t="n">
        <x:v>16</x:v>
      </x:c>
      <x:c r="S114" s="11" t="n">
        <x:v>16</x:v>
      </x:c>
      <x:c r="T114" s="11" t="n">
        <x:v>16</x:v>
      </x:c>
      <x:c r="U114" s="12" t="n">
        <x:v>36.307</x:v>
      </x:c>
      <x:c r="V114" s="9" t="str">
        <x:v>django/db/models/fields/__init__.py</x:v>
      </x:c>
      <x:c r="W114" s="9" t="str"/>
      <x:c r="X114" s="9" t="str">
        <x:v>task_output-wsl/lite-baseline-001/instances/django__django-12284/attempt-0001/state.json
task_output-wsl/lite-baseline-001/instances/django__django-12284/attempt-0001/state.json</x:v>
      </x:c>
      <x:c r="Y114" s="2" t="str">
        <x:v>thinking
text</x:v>
      </x:c>
      <x:c r="Z114" s="11" t="n">
        <x:v>226</x:v>
      </x:c>
      <x:c r="AA114" s="11" t="n">
        <x:v>0</x:v>
      </x:c>
    </x:row>
    <x:row r="115" ht="37" customHeight="1">
      <x:c r="A115" s="2" t="str">
        <x:v>django__django-12286</x:v>
      </x:c>
      <x:c r="B115" s="2" t="str">
        <x:v>django/django</x:v>
      </x:c>
      <x:c r="C115" s="2" t="str">
        <x:v>resolved</x:v>
      </x:c>
      <x:c r="D115" s="2" t="str">
        <x:v>已解决</x:v>
      </x:c>
      <x:c r="E115" s="10" t="str">
        <x:v>gold通过，最新attempt未记录API终止、runner启动失败或评测基础设施终止；不代表原始全套测试零失败。</x:v>
      </x:c>
      <x:c r="F115" s="10" t="str"/>
      <x:c r="G115" s="2" t="str">
        <x:v>通过</x:v>
      </x:c>
      <x:c r="H115" s="2" t="str">
        <x:v>completed</x:v>
      </x:c>
      <x:c r="I115" s="11" t="n">
        <x:v>1</x:v>
      </x:c>
      <x:c r="J115" s="11" t="n">
        <x:v>1</x:v>
      </x:c>
      <x:c r="K115" s="11" t="str">
        <x:v>resolved</x:v>
      </x:c>
      <x:c r="L115" s="11" t="n">
        <x:v>1</x:v>
      </x:c>
      <x:c r="M115" s="11" t="n">
        <x:v>0</x:v>
      </x:c>
      <x:c r="N115" s="11" t="n">
        <x:v>7</x:v>
      </x:c>
      <x:c r="O115" s="11" t="n">
        <x:v>0</x:v>
      </x:c>
      <x:c r="P115" s="11" t="n">
        <x:v>198410</x:v>
      </x:c>
      <x:c r="Q115" s="11" t="n">
        <x:v>198410</x:v>
      </x:c>
      <x:c r="R115" s="11" t="n">
        <x:v>16</x:v>
      </x:c>
      <x:c r="S115" s="11" t="n">
        <x:v>16</x:v>
      </x:c>
      <x:c r="T115" s="11" t="n">
        <x:v>15</x:v>
      </x:c>
      <x:c r="U115" s="12" t="n">
        <x:v>42.605</x:v>
      </x:c>
      <x:c r="V115" s="9" t="str">
        <x:v>django/core/checks/translation.py</x:v>
      </x:c>
      <x:c r="W115" s="9" t="str"/>
      <x:c r="X115" s="9" t="str">
        <x:v>task_output-wsl/lite-baseline-001/instances/django__django-12286/attempt-0001/state.json
task_output-wsl/lite-baseline-001/instances/django__django-12286/attempt-0001/state.json</x:v>
      </x:c>
      <x:c r="Y115" s="2" t="str">
        <x:v>thinking
text</x:v>
      </x:c>
      <x:c r="Z115" s="11" t="n">
        <x:v>208</x:v>
      </x:c>
      <x:c r="AA115" s="11" t="n">
        <x:v>0</x:v>
      </x:c>
    </x:row>
    <x:row r="116" ht="37" customHeight="1">
      <x:c r="A116" s="2" t="str">
        <x:v>django__django-12308</x:v>
      </x:c>
      <x:c r="B116" s="2" t="str">
        <x:v>django/django</x:v>
      </x:c>
      <x:c r="C116" s="2" t="str">
        <x:v>resolved</x:v>
      </x:c>
      <x:c r="D116" s="2" t="str">
        <x:v>已解决</x:v>
      </x:c>
      <x:c r="E116" s="10" t="str">
        <x:v>gold通过，最新attempt未记录API终止、runner启动失败或评测基础设施终止；不代表原始全套测试零失败。</x:v>
      </x:c>
      <x:c r="F116" s="10" t="str"/>
      <x:c r="G116" s="2" t="str">
        <x:v>通过</x:v>
      </x:c>
      <x:c r="H116" s="2" t="str">
        <x:v>completed</x:v>
      </x:c>
      <x:c r="I116" s="11" t="n">
        <x:v>1</x:v>
      </x:c>
      <x:c r="J116" s="11" t="n">
        <x:v>1</x:v>
      </x:c>
      <x:c r="K116" s="11" t="str">
        <x:v>resolved</x:v>
      </x:c>
      <x:c r="L116" s="11" t="n">
        <x:v>2</x:v>
      </x:c>
      <x:c r="M116" s="11" t="n">
        <x:v>0</x:v>
      </x:c>
      <x:c r="N116" s="11" t="n">
        <x:v>20</x:v>
      </x:c>
      <x:c r="O116" s="11" t="n">
        <x:v>0</x:v>
      </x:c>
      <x:c r="P116" s="11" t="n">
        <x:v>286233</x:v>
      </x:c>
      <x:c r="Q116" s="11" t="n">
        <x:v>286233</x:v>
      </x:c>
      <x:c r="R116" s="11" t="n">
        <x:v>29</x:v>
      </x:c>
      <x:c r="S116" s="11" t="n">
        <x:v>29</x:v>
      </x:c>
      <x:c r="T116" s="11" t="n">
        <x:v>28</x:v>
      </x:c>
      <x:c r="U116" s="12" t="n">
        <x:v>68.98</x:v>
      </x:c>
      <x:c r="V116" s="9" t="str">
        <x:v>django/contrib/admin/utils.py</x:v>
      </x:c>
      <x:c r="W116" s="9" t="str"/>
      <x:c r="X116" s="9" t="str">
        <x:v>task_output-wsl/lite-baseline-001/instances/django__django-12308/attempt-0001/state.json
task_output-wsl/lite-baseline-001/instances/django__django-12308/attempt-0001/state.json</x:v>
      </x:c>
      <x:c r="Y116" s="2" t="str">
        <x:v>thinking
text</x:v>
      </x:c>
      <x:c r="Z116" s="11" t="n">
        <x:v>179</x:v>
      </x:c>
      <x:c r="AA116" s="11" t="n">
        <x:v>0</x:v>
      </x:c>
    </x:row>
    <x:row r="117" ht="37" customHeight="1">
      <x:c r="A117" s="2" t="str">
        <x:v>django__django-12453</x:v>
      </x:c>
      <x:c r="B117" s="2" t="str">
        <x:v>django/django</x:v>
      </x:c>
      <x:c r="C117" s="2" t="str">
        <x:v>resolved</x:v>
      </x:c>
      <x:c r="D117" s="2" t="str">
        <x:v>已解决</x:v>
      </x:c>
      <x:c r="E117" s="10" t="str">
        <x:v>gold通过，最新attempt未记录API终止、runner启动失败或评测基础设施终止；不代表原始全套测试零失败。</x:v>
      </x:c>
      <x:c r="F117" s="10" t="str"/>
      <x:c r="G117" s="2" t="str">
        <x:v>通过</x:v>
      </x:c>
      <x:c r="H117" s="2" t="str">
        <x:v>completed</x:v>
      </x:c>
      <x:c r="I117" s="11" t="n">
        <x:v>1</x:v>
      </x:c>
      <x:c r="J117" s="11" t="n">
        <x:v>1</x:v>
      </x:c>
      <x:c r="K117" s="11" t="str">
        <x:v>resolved</x:v>
      </x:c>
      <x:c r="L117" s="11" t="n">
        <x:v>1</x:v>
      </x:c>
      <x:c r="M117" s="11" t="n">
        <x:v>0</x:v>
      </x:c>
      <x:c r="N117" s="11" t="n">
        <x:v>5</x:v>
      </x:c>
      <x:c r="O117" s="11" t="n">
        <x:v>0</x:v>
      </x:c>
      <x:c r="P117" s="11" t="n">
        <x:v>559977</x:v>
      </x:c>
      <x:c r="Q117" s="11" t="n">
        <x:v>559977</x:v>
      </x:c>
      <x:c r="R117" s="11" t="n">
        <x:v>54</x:v>
      </x:c>
      <x:c r="S117" s="11" t="n">
        <x:v>54</x:v>
      </x:c>
      <x:c r="T117" s="11" t="n">
        <x:v>52</x:v>
      </x:c>
      <x:c r="U117" s="12" t="n">
        <x:v>130.273</x:v>
      </x:c>
      <x:c r="V117" s="9" t="str">
        <x:v>django/db/backends/base/creation.py</x:v>
      </x:c>
      <x:c r="W117" s="9" t="str"/>
      <x:c r="X117" s="9" t="str">
        <x:v>task_output-wsl/lite-baseline-001/instances/django__django-12453/attempt-0001/state.json
task_output-wsl/lite-baseline-001/instances/django__django-12453/attempt-0001/state.json</x:v>
      </x:c>
      <x:c r="Y117" s="2" t="str">
        <x:v>thinking
text</x:v>
      </x:c>
      <x:c r="Z117" s="11" t="n">
        <x:v>392</x:v>
      </x:c>
      <x:c r="AA117" s="11" t="n">
        <x:v>0</x:v>
      </x:c>
    </x:row>
    <x:row r="118" ht="37" customHeight="1">
      <x:c r="A118" s="2" t="str">
        <x:v>django__django-12470</x:v>
      </x:c>
      <x:c r="B118" s="2" t="str">
        <x:v>django/django</x:v>
      </x:c>
      <x:c r="C118" s="2" t="str">
        <x:v>resolved</x:v>
      </x:c>
      <x:c r="D118" s="2" t="str">
        <x:v>已解决</x:v>
      </x:c>
      <x:c r="E118" s="10" t="str">
        <x:v>gold通过，最新attempt未记录API终止、runner启动失败或评测基础设施终止；不代表原始全套测试零失败。</x:v>
      </x:c>
      <x:c r="F118" s="10" t="str"/>
      <x:c r="G118" s="2" t="str">
        <x:v>通过</x:v>
      </x:c>
      <x:c r="H118" s="2" t="str">
        <x:v>completed</x:v>
      </x:c>
      <x:c r="I118" s="11" t="n">
        <x:v>1</x:v>
      </x:c>
      <x:c r="J118" s="11" t="n">
        <x:v>1</x:v>
      </x:c>
      <x:c r="K118" s="11" t="str">
        <x:v>resolved</x:v>
      </x:c>
      <x:c r="L118" s="11" t="n">
        <x:v>1</x:v>
      </x:c>
      <x:c r="M118" s="11" t="n">
        <x:v>0</x:v>
      </x:c>
      <x:c r="N118" s="11" t="n">
        <x:v>33</x:v>
      </x:c>
      <x:c r="O118" s="11" t="n">
        <x:v>0</x:v>
      </x:c>
      <x:c r="P118" s="11" t="n">
        <x:v>337524</x:v>
      </x:c>
      <x:c r="Q118" s="11" t="n">
        <x:v>337524</x:v>
      </x:c>
      <x:c r="R118" s="11" t="n">
        <x:v>37</x:v>
      </x:c>
      <x:c r="S118" s="11" t="n">
        <x:v>37</x:v>
      </x:c>
      <x:c r="T118" s="11" t="n">
        <x:v>36</x:v>
      </x:c>
      <x:c r="U118" s="12" t="n">
        <x:v>79.554</x:v>
      </x:c>
      <x:c r="V118" s="9" t="str">
        <x:v>django/db/models/sql/compiler.py</x:v>
      </x:c>
      <x:c r="W118" s="9" t="str"/>
      <x:c r="X118" s="9" t="str">
        <x:v>task_output-wsl/lite-baseline-001/instances/django__django-12470/attempt-0001/state.json
task_output-wsl/lite-baseline-001/instances/django__django-12470/attempt-0001/state.json</x:v>
      </x:c>
      <x:c r="Y118" s="2" t="str">
        <x:v>thinking
text</x:v>
      </x:c>
      <x:c r="Z118" s="11" t="n">
        <x:v>207</x:v>
      </x:c>
      <x:c r="AA118" s="11" t="n">
        <x:v>0</x:v>
      </x:c>
    </x:row>
    <x:row r="119" ht="37" customHeight="1">
      <x:c r="A119" s="2" t="str">
        <x:v>django__django-12497</x:v>
      </x:c>
      <x:c r="B119" s="2" t="str">
        <x:v>django/django</x:v>
      </x:c>
      <x:c r="C119" s="2" t="str">
        <x:v>resolved</x:v>
      </x:c>
      <x:c r="D119" s="2" t="str">
        <x:v>已解决</x:v>
      </x:c>
      <x:c r="E119" s="10" t="str">
        <x:v>gold通过，最新attempt未记录API终止、runner启动失败或评测基础设施终止；不代表原始全套测试零失败。</x:v>
      </x:c>
      <x:c r="F119" s="10" t="str"/>
      <x:c r="G119" s="2" t="str">
        <x:v>通过</x:v>
      </x:c>
      <x:c r="H119" s="2" t="str">
        <x:v>completed</x:v>
      </x:c>
      <x:c r="I119" s="11" t="n">
        <x:v>1</x:v>
      </x:c>
      <x:c r="J119" s="11" t="n">
        <x:v>1</x:v>
      </x:c>
      <x:c r="K119" s="11" t="str">
        <x:v>resolved</x:v>
      </x:c>
      <x:c r="L119" s="11" t="n">
        <x:v>2</x:v>
      </x:c>
      <x:c r="M119" s="11" t="n">
        <x:v>0</x:v>
      </x:c>
      <x:c r="N119" s="11" t="n">
        <x:v>82</x:v>
      </x:c>
      <x:c r="O119" s="11" t="n">
        <x:v>0</x:v>
      </x:c>
      <x:c r="P119" s="11" t="n">
        <x:v>57018</x:v>
      </x:c>
      <x:c r="Q119" s="11" t="n">
        <x:v>57018</x:v>
      </x:c>
      <x:c r="R119" s="11" t="n">
        <x:v>11</x:v>
      </x:c>
      <x:c r="S119" s="11" t="n">
        <x:v>11</x:v>
      </x:c>
      <x:c r="T119" s="11" t="n">
        <x:v>11</x:v>
      </x:c>
      <x:c r="U119" s="12" t="n">
        <x:v>20.553</x:v>
      </x:c>
      <x:c r="V119" s="9" t="str">
        <x:v>django/db/models/fields/related.py</x:v>
      </x:c>
      <x:c r="W119" s="9" t="str"/>
      <x:c r="X119" s="9" t="str">
        <x:v>task_output-wsl/lite-baseline-001/instances/django__django-12497/attempt-0001/state.json
task_output-wsl/lite-baseline-001/instances/django__django-12497/attempt-0001/state.json</x:v>
      </x:c>
      <x:c r="Y119" s="2" t="str">
        <x:v>thinking
text</x:v>
      </x:c>
      <x:c r="Z119" s="11" t="n">
        <x:v>306</x:v>
      </x:c>
      <x:c r="AA119" s="11" t="n">
        <x:v>0</x:v>
      </x:c>
    </x:row>
    <x:row r="120" ht="37" customHeight="1">
      <x:c r="A120" s="2" t="str">
        <x:v>django__django-12589</x:v>
      </x:c>
      <x:c r="B120" s="2" t="str">
        <x:v>django/django</x:v>
      </x:c>
      <x:c r="C120" s="2" t="str">
        <x:v>resolved</x:v>
      </x:c>
      <x:c r="D120" s="2" t="str">
        <x:v>已解决</x:v>
      </x:c>
      <x:c r="E120" s="10" t="str">
        <x:v>gold通过，最新attempt未记录API终止、runner启动失败或评测基础设施终止；不代表原始全套测试零失败。</x:v>
      </x:c>
      <x:c r="F120" s="10" t="str"/>
      <x:c r="G120" s="2" t="str">
        <x:v>通过</x:v>
      </x:c>
      <x:c r="H120" s="2" t="str">
        <x:v>limit</x:v>
      </x:c>
      <x:c r="I120" s="11" t="n">
        <x:v>1</x:v>
      </x:c>
      <x:c r="J120" s="11" t="n">
        <x:v>1</x:v>
      </x:c>
      <x:c r="K120" s="11" t="str">
        <x:v>resolved</x:v>
      </x:c>
      <x:c r="L120" s="11" t="n">
        <x:v>1</x:v>
      </x:c>
      <x:c r="M120" s="11" t="n">
        <x:v>0</x:v>
      </x:c>
      <x:c r="N120" s="11" t="n">
        <x:v>66</x:v>
      </x:c>
      <x:c r="O120" s="11" t="n">
        <x:v>0</x:v>
      </x:c>
      <x:c r="P120" s="11" t="n">
        <x:v>628286</x:v>
      </x:c>
      <x:c r="Q120" s="11" t="n">
        <x:v>628286</x:v>
      </x:c>
      <x:c r="R120" s="11" t="n">
        <x:v>62</x:v>
      </x:c>
      <x:c r="S120" s="11" t="n">
        <x:v>62</x:v>
      </x:c>
      <x:c r="T120" s="11" t="n">
        <x:v>60</x:v>
      </x:c>
      <x:c r="U120" s="12" t="n">
        <x:v>125.045</x:v>
      </x:c>
      <x:c r="V120" s="9" t="str">
        <x:v>django/db/models/sql/query.py
tests/aggregation/test_collision_tmp.py</x:v>
      </x:c>
      <x:c r="W120" s="9" t="str"/>
      <x:c r="X120" s="9" t="str">
        <x:v>task_output-wsl/lite-baseline-001/instances/django__django-12589/attempt-0001/state.json
task_output-wsl/lite-baseline-001/instances/django__django-12589/attempt-0001/state.json</x:v>
      </x:c>
      <x:c r="Y120" s="2" t="str">
        <x:v>thinking
tool_use</x:v>
      </x:c>
      <x:c r="Z120" s="11" t="n">
        <x:v>67</x:v>
      </x:c>
      <x:c r="AA120" s="11" t="n">
        <x:v>0</x:v>
      </x:c>
    </x:row>
    <x:row r="121" ht="37" customHeight="1">
      <x:c r="A121" s="2" t="str">
        <x:v>django__django-12708</x:v>
      </x:c>
      <x:c r="B121" s="2" t="str">
        <x:v>django/django</x:v>
      </x:c>
      <x:c r="C121" s="2" t="str">
        <x:v>resolved</x:v>
      </x:c>
      <x:c r="D121" s="2" t="str">
        <x:v>已解决</x:v>
      </x:c>
      <x:c r="E121" s="10" t="str">
        <x:v>gold通过，最新attempt未记录API终止、runner启动失败或评测基础设施终止；不代表原始全套测试零失败。</x:v>
      </x:c>
      <x:c r="F121" s="10" t="str"/>
      <x:c r="G121" s="2" t="str">
        <x:v>通过</x:v>
      </x:c>
      <x:c r="H121" s="2" t="str">
        <x:v>completed</x:v>
      </x:c>
      <x:c r="I121" s="11" t="n">
        <x:v>1</x:v>
      </x:c>
      <x:c r="J121" s="11" t="n">
        <x:v>1</x:v>
      </x:c>
      <x:c r="K121" s="11" t="str">
        <x:v>resolved</x:v>
      </x:c>
      <x:c r="L121" s="11" t="n">
        <x:v>1</x:v>
      </x:c>
      <x:c r="M121" s="11" t="n">
        <x:v>0</x:v>
      </x:c>
      <x:c r="N121" s="11" t="n">
        <x:v>101</x:v>
      </x:c>
      <x:c r="O121" s="11" t="n">
        <x:v>0</x:v>
      </x:c>
      <x:c r="P121" s="11" t="n">
        <x:v>348367</x:v>
      </x:c>
      <x:c r="Q121" s="11" t="n">
        <x:v>348367</x:v>
      </x:c>
      <x:c r="R121" s="11" t="n">
        <x:v>34</x:v>
      </x:c>
      <x:c r="S121" s="11" t="n">
        <x:v>34</x:v>
      </x:c>
      <x:c r="T121" s="11" t="n">
        <x:v>33</x:v>
      </x:c>
      <x:c r="U121" s="12" t="n">
        <x:v>75.929</x:v>
      </x:c>
      <x:c r="V121" s="9" t="str">
        <x:v>django/db/backends/base/schema.py</x:v>
      </x:c>
      <x:c r="W121" s="9" t="str"/>
      <x:c r="X121" s="9" t="str">
        <x:v>task_output-wsl/lite-baseline-001/instances/django__django-12708/attempt-0001/state.json
task_output-wsl/lite-baseline-001/instances/django__django-12708/attempt-0001/state.json</x:v>
      </x:c>
      <x:c r="Y121" s="2" t="str">
        <x:v>thinking
text</x:v>
      </x:c>
      <x:c r="Z121" s="11" t="n">
        <x:v>496</x:v>
      </x:c>
      <x:c r="AA121" s="11" t="n">
        <x:v>0</x:v>
      </x:c>
    </x:row>
    <x:row r="122" ht="37" customHeight="1">
      <x:c r="A122" s="2" t="str">
        <x:v>django__django-12747</x:v>
      </x:c>
      <x:c r="B122" s="2" t="str">
        <x:v>django/django</x:v>
      </x:c>
      <x:c r="C122" s="2" t="str">
        <x:v>resolved</x:v>
      </x:c>
      <x:c r="D122" s="2" t="str">
        <x:v>已解决</x:v>
      </x:c>
      <x:c r="E122" s="10" t="str">
        <x:v>gold通过，最新attempt未记录API终止、runner启动失败或评测基础设施终止；不代表原始全套测试零失败。</x:v>
      </x:c>
      <x:c r="F122" s="10" t="str"/>
      <x:c r="G122" s="2" t="str">
        <x:v>通过</x:v>
      </x:c>
      <x:c r="H122" s="2" t="str">
        <x:v>completed</x:v>
      </x:c>
      <x:c r="I122" s="11" t="n">
        <x:v>1</x:v>
      </x:c>
      <x:c r="J122" s="11" t="n">
        <x:v>1</x:v>
      </x:c>
      <x:c r="K122" s="11" t="str">
        <x:v>resolved</x:v>
      </x:c>
      <x:c r="L122" s="11" t="n">
        <x:v>3</x:v>
      </x:c>
      <x:c r="M122" s="11" t="n">
        <x:v>0</x:v>
      </x:c>
      <x:c r="N122" s="11" t="n">
        <x:v>49</x:v>
      </x:c>
      <x:c r="O122" s="11" t="n">
        <x:v>0</x:v>
      </x:c>
      <x:c r="P122" s="11" t="n">
        <x:v>181899</x:v>
      </x:c>
      <x:c r="Q122" s="11" t="n">
        <x:v>181899</x:v>
      </x:c>
      <x:c r="R122" s="11" t="n">
        <x:v>19</x:v>
      </x:c>
      <x:c r="S122" s="11" t="n">
        <x:v>19</x:v>
      </x:c>
      <x:c r="T122" s="11" t="n">
        <x:v>19</x:v>
      </x:c>
      <x:c r="U122" s="12" t="n">
        <x:v>45.392</x:v>
      </x:c>
      <x:c r="V122" s="9" t="str">
        <x:v>django/db/models/deletion.py</x:v>
      </x:c>
      <x:c r="W122" s="9" t="str"/>
      <x:c r="X122" s="9" t="str">
        <x:v>task_output-wsl/lite-baseline-001/instances/django__django-12747/attempt-0001/state.json
task_output-wsl/lite-baseline-001/instances/django__django-12747/attempt-0001/state.json</x:v>
      </x:c>
      <x:c r="Y122" s="2" t="str">
        <x:v>thinking
text</x:v>
      </x:c>
      <x:c r="Z122" s="11" t="n">
        <x:v>403</x:v>
      </x:c>
      <x:c r="AA122" s="11" t="n">
        <x:v>0</x:v>
      </x:c>
    </x:row>
    <x:row r="123" ht="37" customHeight="1">
      <x:c r="A123" s="2" t="str">
        <x:v>django__django-12856</x:v>
      </x:c>
      <x:c r="B123" s="2" t="str">
        <x:v>django/django</x:v>
      </x:c>
      <x:c r="C123" s="2" t="str">
        <x:v>resolved</x:v>
      </x:c>
      <x:c r="D123" s="2" t="str">
        <x:v>已解决</x:v>
      </x:c>
      <x:c r="E123" s="10" t="str">
        <x:v>gold通过，最新attempt未记录API终止、runner启动失败或评测基础设施终止；不代表原始全套测试零失败。</x:v>
      </x:c>
      <x:c r="F123" s="10" t="str"/>
      <x:c r="G123" s="2" t="str">
        <x:v>通过</x:v>
      </x:c>
      <x:c r="H123" s="2" t="str">
        <x:v>completed</x:v>
      </x:c>
      <x:c r="I123" s="11" t="n">
        <x:v>1</x:v>
      </x:c>
      <x:c r="J123" s="11" t="n">
        <x:v>1</x:v>
      </x:c>
      <x:c r="K123" s="11" t="str">
        <x:v>resolved</x:v>
      </x:c>
      <x:c r="L123" s="11" t="n">
        <x:v>3</x:v>
      </x:c>
      <x:c r="M123" s="11" t="n">
        <x:v>0</x:v>
      </x:c>
      <x:c r="N123" s="11" t="n">
        <x:v>78</x:v>
      </x:c>
      <x:c r="O123" s="11" t="n">
        <x:v>0</x:v>
      </x:c>
      <x:c r="P123" s="11" t="n">
        <x:v>236998</x:v>
      </x:c>
      <x:c r="Q123" s="11" t="n">
        <x:v>236998</x:v>
      </x:c>
      <x:c r="R123" s="11" t="n">
        <x:v>25</x:v>
      </x:c>
      <x:c r="S123" s="11" t="n">
        <x:v>25</x:v>
      </x:c>
      <x:c r="T123" s="11" t="n">
        <x:v>25</x:v>
      </x:c>
      <x:c r="U123" s="12" t="n">
        <x:v>46.056</x:v>
      </x:c>
      <x:c r="V123" s="9" t="str">
        <x:v>django/db/models/base.py
docs/ref/checks.txt</x:v>
      </x:c>
      <x:c r="W123" s="9" t="str"/>
      <x:c r="X123" s="9" t="str">
        <x:v>task_output-wsl/lite-baseline-001/instances/django__django-12856/attempt-0001/state.json
task_output-wsl/lite-baseline-001/instances/django__django-12856/attempt-0001/state.json</x:v>
      </x:c>
      <x:c r="Y123" s="2" t="str">
        <x:v>thinking
text</x:v>
      </x:c>
      <x:c r="Z123" s="11" t="n">
        <x:v>326</x:v>
      </x:c>
      <x:c r="AA123" s="11" t="n">
        <x:v>0</x:v>
      </x:c>
    </x:row>
    <x:row r="124" ht="37" customHeight="1">
      <x:c r="A124" s="2" t="str">
        <x:v>django__django-12908</x:v>
      </x:c>
      <x:c r="B124" s="2" t="str">
        <x:v>django/django</x:v>
      </x:c>
      <x:c r="C124" s="2" t="str">
        <x:v>resolved</x:v>
      </x:c>
      <x:c r="D124" s="2" t="str">
        <x:v>已解决</x:v>
      </x:c>
      <x:c r="E124" s="10" t="str">
        <x:v>gold通过，最新attempt未记录API终止、runner启动失败或评测基础设施终止；不代表原始全套测试零失败。</x:v>
      </x:c>
      <x:c r="F124" s="10" t="str"/>
      <x:c r="G124" s="2" t="str">
        <x:v>通过</x:v>
      </x:c>
      <x:c r="H124" s="2" t="str">
        <x:v>completed</x:v>
      </x:c>
      <x:c r="I124" s="11" t="n">
        <x:v>1</x:v>
      </x:c>
      <x:c r="J124" s="11" t="n">
        <x:v>1</x:v>
      </x:c>
      <x:c r="K124" s="11" t="str">
        <x:v>resolved</x:v>
      </x:c>
      <x:c r="L124" s="11" t="n">
        <x:v>2</x:v>
      </x:c>
      <x:c r="M124" s="11" t="n">
        <x:v>0</x:v>
      </x:c>
      <x:c r="N124" s="11" t="n">
        <x:v>25</x:v>
      </x:c>
      <x:c r="O124" s="11" t="n">
        <x:v>0</x:v>
      </x:c>
      <x:c r="P124" s="11" t="n">
        <x:v>123626</x:v>
      </x:c>
      <x:c r="Q124" s="11" t="n">
        <x:v>123626</x:v>
      </x:c>
      <x:c r="R124" s="11" t="n">
        <x:v>14</x:v>
      </x:c>
      <x:c r="S124" s="11" t="n">
        <x:v>14</x:v>
      </x:c>
      <x:c r="T124" s="11" t="n">
        <x:v>14</x:v>
      </x:c>
      <x:c r="U124" s="12" t="n">
        <x:v>26.011</x:v>
      </x:c>
      <x:c r="V124" s="9" t="str">
        <x:v>django/db/models/query.py</x:v>
      </x:c>
      <x:c r="W124" s="9" t="str"/>
      <x:c r="X124" s="9" t="str">
        <x:v>task_output-wsl/lite-baseline-001/instances/django__django-12908/attempt-0001/state.json
task_output-wsl/lite-baseline-001/instances/django__django-12908/attempt-0001/state.json</x:v>
      </x:c>
      <x:c r="Y124" s="2" t="str">
        <x:v>thinking
text</x:v>
      </x:c>
      <x:c r="Z124" s="11" t="n">
        <x:v>146</x:v>
      </x:c>
      <x:c r="AA124" s="11" t="n">
        <x:v>0</x:v>
      </x:c>
    </x:row>
    <x:row r="125" ht="37" customHeight="1">
      <x:c r="A125" s="2" t="str">
        <x:v>django__django-12915</x:v>
      </x:c>
      <x:c r="B125" s="2" t="str">
        <x:v>django/django</x:v>
      </x:c>
      <x:c r="C125" s="2" t="str">
        <x:v>resolved</x:v>
      </x:c>
      <x:c r="D125" s="2" t="str">
        <x:v>已解决</x:v>
      </x:c>
      <x:c r="E125" s="10" t="str">
        <x:v>gold通过，最新attempt未记录API终止、runner启动失败或评测基础设施终止；不代表原始全套测试零失败。</x:v>
      </x:c>
      <x:c r="F125" s="10" t="str"/>
      <x:c r="G125" s="2" t="str">
        <x:v>通过</x:v>
      </x:c>
      <x:c r="H125" s="2" t="str">
        <x:v>completed</x:v>
      </x:c>
      <x:c r="I125" s="11" t="n">
        <x:v>1</x:v>
      </x:c>
      <x:c r="J125" s="11" t="n">
        <x:v>1</x:v>
      </x:c>
      <x:c r="K125" s="11" t="str">
        <x:v>resolved</x:v>
      </x:c>
      <x:c r="L125" s="11" t="n">
        <x:v>3</x:v>
      </x:c>
      <x:c r="M125" s="11" t="n">
        <x:v>0</x:v>
      </x:c>
      <x:c r="N125" s="11" t="n">
        <x:v>8</x:v>
      </x:c>
      <x:c r="O125" s="11" t="n">
        <x:v>0</x:v>
      </x:c>
      <x:c r="P125" s="11" t="n">
        <x:v>179728</x:v>
      </x:c>
      <x:c r="Q125" s="11" t="n">
        <x:v>179728</x:v>
      </x:c>
      <x:c r="R125" s="11" t="n">
        <x:v>20</x:v>
      </x:c>
      <x:c r="S125" s="11" t="n">
        <x:v>20</x:v>
      </x:c>
      <x:c r="T125" s="11" t="n">
        <x:v>20</x:v>
      </x:c>
      <x:c r="U125" s="12" t="n">
        <x:v>33.126</x:v>
      </x:c>
      <x:c r="V125" s="9" t="str">
        <x:v>django/contrib/staticfiles/handlers.py</x:v>
      </x:c>
      <x:c r="W125" s="9" t="str"/>
      <x:c r="X125" s="9" t="str">
        <x:v>task_output-wsl/lite-baseline-001/instances/django__django-12915/attempt-0001/state.json
task_output-wsl/lite-baseline-001/instances/django__django-12915/attempt-0001/state.json</x:v>
      </x:c>
      <x:c r="Y125" s="2" t="str">
        <x:v>thinking
text</x:v>
      </x:c>
      <x:c r="Z125" s="11" t="n">
        <x:v>146</x:v>
      </x:c>
      <x:c r="AA125" s="11" t="n">
        <x:v>0</x:v>
      </x:c>
    </x:row>
    <x:row r="126" ht="37" customHeight="1">
      <x:c r="A126" s="2" t="str">
        <x:v>django__django-12983</x:v>
      </x:c>
      <x:c r="B126" s="2" t="str">
        <x:v>django/django</x:v>
      </x:c>
      <x:c r="C126" s="2" t="str">
        <x:v>resolved</x:v>
      </x:c>
      <x:c r="D126" s="2" t="str">
        <x:v>已解决</x:v>
      </x:c>
      <x:c r="E126" s="10" t="str">
        <x:v>gold通过，最新attempt未记录API终止、runner启动失败或评测基础设施终止；不代表原始全套测试零失败。</x:v>
      </x:c>
      <x:c r="F126" s="10" t="str"/>
      <x:c r="G126" s="2" t="str">
        <x:v>通过</x:v>
      </x:c>
      <x:c r="H126" s="2" t="str">
        <x:v>completed</x:v>
      </x:c>
      <x:c r="I126" s="11" t="n">
        <x:v>1</x:v>
      </x:c>
      <x:c r="J126" s="11" t="n">
        <x:v>1</x:v>
      </x:c>
      <x:c r="K126" s="11" t="str">
        <x:v>resolved</x:v>
      </x:c>
      <x:c r="L126" s="11" t="n">
        <x:v>1</x:v>
      </x:c>
      <x:c r="M126" s="11" t="n">
        <x:v>0</x:v>
      </x:c>
      <x:c r="N126" s="11" t="n">
        <x:v>15</x:v>
      </x:c>
      <x:c r="O126" s="11" t="n">
        <x:v>0</x:v>
      </x:c>
      <x:c r="P126" s="11" t="n">
        <x:v>35547</x:v>
      </x:c>
      <x:c r="Q126" s="11" t="n">
        <x:v>35547</x:v>
      </x:c>
      <x:c r="R126" s="11" t="n">
        <x:v>8</x:v>
      </x:c>
      <x:c r="S126" s="11" t="n">
        <x:v>8</x:v>
      </x:c>
      <x:c r="T126" s="11" t="n">
        <x:v>8</x:v>
      </x:c>
      <x:c r="U126" s="12" t="n">
        <x:v>13.791</x:v>
      </x:c>
      <x:c r="V126" s="9" t="str">
        <x:v>django/utils/text.py</x:v>
      </x:c>
      <x:c r="W126" s="9" t="str"/>
      <x:c r="X126" s="9" t="str">
        <x:v>task_output-wsl/lite-baseline-001/instances/django__django-12983/attempt-0001/state.json
task_output-wsl/lite-baseline-001/instances/django__django-12983/attempt-0001/state.json</x:v>
      </x:c>
      <x:c r="Y126" s="2" t="str">
        <x:v>thinking
text</x:v>
      </x:c>
      <x:c r="Z126" s="11" t="n">
        <x:v>143</x:v>
      </x:c>
      <x:c r="AA126" s="11" t="n">
        <x:v>0</x:v>
      </x:c>
    </x:row>
    <x:row r="127" ht="37" customHeight="1">
      <x:c r="A127" s="2" t="str">
        <x:v>django__django-13028</x:v>
      </x:c>
      <x:c r="B127" s="2" t="str">
        <x:v>django/django</x:v>
      </x:c>
      <x:c r="C127" s="2" t="str">
        <x:v>resolved</x:v>
      </x:c>
      <x:c r="D127" s="2" t="str">
        <x:v>已解决</x:v>
      </x:c>
      <x:c r="E127" s="10" t="str">
        <x:v>gold通过，最新attempt未记录API终止、runner启动失败或评测基础设施终止；不代表原始全套测试零失败。</x:v>
      </x:c>
      <x:c r="F127" s="10" t="str"/>
      <x:c r="G127" s="2" t="str">
        <x:v>通过</x:v>
      </x:c>
      <x:c r="H127" s="2" t="str">
        <x:v>completed</x:v>
      </x:c>
      <x:c r="I127" s="11" t="n">
        <x:v>1</x:v>
      </x:c>
      <x:c r="J127" s="11" t="n">
        <x:v>1</x:v>
      </x:c>
      <x:c r="K127" s="11" t="str">
        <x:v>resolved</x:v>
      </x:c>
      <x:c r="L127" s="11" t="n">
        <x:v>2</x:v>
      </x:c>
      <x:c r="M127" s="11" t="n">
        <x:v>0</x:v>
      </x:c>
      <x:c r="N127" s="11" t="n">
        <x:v>276</x:v>
      </x:c>
      <x:c r="O127" s="11" t="n">
        <x:v>0</x:v>
      </x:c>
      <x:c r="P127" s="11" t="n">
        <x:v>231437</x:v>
      </x:c>
      <x:c r="Q127" s="11" t="n">
        <x:v>231437</x:v>
      </x:c>
      <x:c r="R127" s="11" t="n">
        <x:v>25</x:v>
      </x:c>
      <x:c r="S127" s="11" t="n">
        <x:v>25</x:v>
      </x:c>
      <x:c r="T127" s="11" t="n">
        <x:v>24</x:v>
      </x:c>
      <x:c r="U127" s="12" t="n">
        <x:v>61.836</x:v>
      </x:c>
      <x:c r="V127" s="9" t="str">
        <x:v>django/db/models/sql/query.py</x:v>
      </x:c>
      <x:c r="W127" s="9" t="str"/>
      <x:c r="X127" s="9" t="str">
        <x:v>task_output-wsl/lite-baseline-001/instances/django__django-13028/attempt-0001/state.json
task_output-wsl/lite-baseline-001/instances/django__django-13028/attempt-0001/state.json</x:v>
      </x:c>
      <x:c r="Y127" s="2" t="str">
        <x:v>thinking
text</x:v>
      </x:c>
      <x:c r="Z127" s="11" t="n">
        <x:v>342</x:v>
      </x:c>
      <x:c r="AA127" s="11" t="n">
        <x:v>0</x:v>
      </x:c>
    </x:row>
    <x:row r="128" ht="37" customHeight="1">
      <x:c r="A128" s="2" t="str">
        <x:v>django__django-13033</x:v>
      </x:c>
      <x:c r="B128" s="2" t="str">
        <x:v>django/django</x:v>
      </x:c>
      <x:c r="C128" s="2" t="str">
        <x:v>resolved</x:v>
      </x:c>
      <x:c r="D128" s="2" t="str">
        <x:v>已解决</x:v>
      </x:c>
      <x:c r="E128" s="10" t="str">
        <x:v>gold通过，最新attempt未记录API终止、runner启动失败或评测基础设施终止；不代表原始全套测试零失败。</x:v>
      </x:c>
      <x:c r="F128" s="10" t="str"/>
      <x:c r="G128" s="2" t="str">
        <x:v>通过</x:v>
      </x:c>
      <x:c r="H128" s="2" t="str">
        <x:v>completed</x:v>
      </x:c>
      <x:c r="I128" s="11" t="n">
        <x:v>1</x:v>
      </x:c>
      <x:c r="J128" s="11" t="n">
        <x:v>1</x:v>
      </x:c>
      <x:c r="K128" s="11" t="str">
        <x:v>resolved</x:v>
      </x:c>
      <x:c r="L128" s="11" t="n">
        <x:v>1</x:v>
      </x:c>
      <x:c r="M128" s="11" t="n">
        <x:v>0</x:v>
      </x:c>
      <x:c r="N128" s="11" t="n">
        <x:v>26</x:v>
      </x:c>
      <x:c r="O128" s="11" t="n">
        <x:v>0</x:v>
      </x:c>
      <x:c r="P128" s="11" t="n">
        <x:v>370719</x:v>
      </x:c>
      <x:c r="Q128" s="11" t="n">
        <x:v>370719</x:v>
      </x:c>
      <x:c r="R128" s="11" t="n">
        <x:v>37</x:v>
      </x:c>
      <x:c r="S128" s="11" t="n">
        <x:v>37</x:v>
      </x:c>
      <x:c r="T128" s="11" t="n">
        <x:v>36</x:v>
      </x:c>
      <x:c r="U128" s="12" t="n">
        <x:v>77.384</x:v>
      </x:c>
      <x:c r="V128" s="9" t="str">
        <x:v>django/db/models/sql/compiler.py</x:v>
      </x:c>
      <x:c r="W128" s="9" t="str"/>
      <x:c r="X128" s="9" t="str">
        <x:v>task_output-wsl/lite-baseline-001/instances/django__django-13033/attempt-0001/state.json
task_output-wsl/lite-baseline-001/instances/django__django-13033/attempt-0001/state.json</x:v>
      </x:c>
      <x:c r="Y128" s="2" t="str">
        <x:v>thinking
text</x:v>
      </x:c>
      <x:c r="Z128" s="11" t="n">
        <x:v>384</x:v>
      </x:c>
      <x:c r="AA128" s="11" t="n">
        <x:v>0</x:v>
      </x:c>
    </x:row>
    <x:row r="129" ht="37" customHeight="1">
      <x:c r="A129" s="2" t="str">
        <x:v>django__django-13158</x:v>
      </x:c>
      <x:c r="B129" s="2" t="str">
        <x:v>django/django</x:v>
      </x:c>
      <x:c r="C129" s="2" t="str">
        <x:v>resolved</x:v>
      </x:c>
      <x:c r="D129" s="2" t="str">
        <x:v>已解决</x:v>
      </x:c>
      <x:c r="E129" s="10" t="str">
        <x:v>gold通过，最新attempt未记录API终止、runner启动失败或评测基础设施终止；不代表原始全套测试零失败。</x:v>
      </x:c>
      <x:c r="F129" s="10" t="str"/>
      <x:c r="G129" s="2" t="str">
        <x:v>通过</x:v>
      </x:c>
      <x:c r="H129" s="2" t="str">
        <x:v>completed</x:v>
      </x:c>
      <x:c r="I129" s="11" t="n">
        <x:v>1</x:v>
      </x:c>
      <x:c r="J129" s="11" t="n">
        <x:v>1</x:v>
      </x:c>
      <x:c r="K129" s="11" t="str">
        <x:v>resolved</x:v>
      </x:c>
      <x:c r="L129" s="11" t="n">
        <x:v>1</x:v>
      </x:c>
      <x:c r="M129" s="11" t="n">
        <x:v>0</x:v>
      </x:c>
      <x:c r="N129" s="11" t="n">
        <x:v>29</x:v>
      </x:c>
      <x:c r="O129" s="11" t="n">
        <x:v>0</x:v>
      </x:c>
      <x:c r="P129" s="11" t="n">
        <x:v>456503</x:v>
      </x:c>
      <x:c r="Q129" s="11" t="n">
        <x:v>456503</x:v>
      </x:c>
      <x:c r="R129" s="11" t="n">
        <x:v>45</x:v>
      </x:c>
      <x:c r="S129" s="11" t="n">
        <x:v>45</x:v>
      </x:c>
      <x:c r="T129" s="11" t="n">
        <x:v>43</x:v>
      </x:c>
      <x:c r="U129" s="12" t="n">
        <x:v>146.478</x:v>
      </x:c>
      <x:c r="V129" s="9" t="str">
        <x:v>django/db/models/sql/query.py</x:v>
      </x:c>
      <x:c r="W129" s="9" t="str"/>
      <x:c r="X129" s="9" t="str">
        <x:v>task_output-wsl/lite-baseline-001/instances/django__django-13158/attempt-0001/state.json
task_output-wsl/lite-baseline-001/instances/django__django-13158/attempt-0001/state.json</x:v>
      </x:c>
      <x:c r="Y129" s="2" t="str">
        <x:v>thinking
text</x:v>
      </x:c>
      <x:c r="Z129" s="11" t="n">
        <x:v>182</x:v>
      </x:c>
      <x:c r="AA129" s="11" t="n">
        <x:v>0</x:v>
      </x:c>
    </x:row>
    <x:row r="130" ht="37" customHeight="1">
      <x:c r="A130" s="2" t="str">
        <x:v>django__django-13220</x:v>
      </x:c>
      <x:c r="B130" s="2" t="str">
        <x:v>django/django</x:v>
      </x:c>
      <x:c r="C130" s="2" t="str">
        <x:v>resolved</x:v>
      </x:c>
      <x:c r="D130" s="2" t="str">
        <x:v>已解决</x:v>
      </x:c>
      <x:c r="E130" s="10" t="str">
        <x:v>gold通过，最新attempt未记录API终止、runner启动失败或评测基础设施终止；不代表原始全套测试零失败。</x:v>
      </x:c>
      <x:c r="F130" s="10" t="str"/>
      <x:c r="G130" s="2" t="str">
        <x:v>通过</x:v>
      </x:c>
      <x:c r="H130" s="2" t="str">
        <x:v>completed</x:v>
      </x:c>
      <x:c r="I130" s="11" t="n">
        <x:v>1</x:v>
      </x:c>
      <x:c r="J130" s="11" t="n">
        <x:v>1</x:v>
      </x:c>
      <x:c r="K130" s="11" t="str">
        <x:v>resolved</x:v>
      </x:c>
      <x:c r="L130" s="11" t="n">
        <x:v>4</x:v>
      </x:c>
      <x:c r="M130" s="11" t="n">
        <x:v>0</x:v>
      </x:c>
      <x:c r="N130" s="11" t="n">
        <x:v>1</x:v>
      </x:c>
      <x:c r="O130" s="11" t="n">
        <x:v>0</x:v>
      </x:c>
      <x:c r="P130" s="11" t="n">
        <x:v>340009</x:v>
      </x:c>
      <x:c r="Q130" s="11" t="n">
        <x:v>340009</x:v>
      </x:c>
      <x:c r="R130" s="11" t="n">
        <x:v>34</x:v>
      </x:c>
      <x:c r="S130" s="11" t="n">
        <x:v>34</x:v>
      </x:c>
      <x:c r="T130" s="11" t="n">
        <x:v>33</x:v>
      </x:c>
      <x:c r="U130" s="12" t="n">
        <x:v>82.322</x:v>
      </x:c>
      <x:c r="V130" s="9" t="str">
        <x:v>django/core/exceptions.py
django/utils/hashable.py</x:v>
      </x:c>
      <x:c r="W130" s="9" t="str"/>
      <x:c r="X130" s="9" t="str">
        <x:v>task_output-wsl/lite-baseline-001/instances/django__django-13220/attempt-0001/state.json
task_output-wsl/lite-baseline-001/instances/django__django-13220/attempt-0001/state.json</x:v>
      </x:c>
      <x:c r="Y130" s="2" t="str">
        <x:v>thinking
text</x:v>
      </x:c>
      <x:c r="Z130" s="11" t="n">
        <x:v>304</x:v>
      </x:c>
      <x:c r="AA130" s="11" t="n">
        <x:v>0</x:v>
      </x:c>
    </x:row>
    <x:row r="131" ht="37" customHeight="1">
      <x:c r="A131" s="2" t="str">
        <x:v>django__django-13230</x:v>
      </x:c>
      <x:c r="B131" s="2" t="str">
        <x:v>django/django</x:v>
      </x:c>
      <x:c r="C131" s="2" t="str">
        <x:v>resolved</x:v>
      </x:c>
      <x:c r="D131" s="2" t="str">
        <x:v>已解决</x:v>
      </x:c>
      <x:c r="E131" s="10" t="str">
        <x:v>gold通过，最新attempt未记录API终止、runner启动失败或评测基础设施终止；不代表原始全套测试零失败。</x:v>
      </x:c>
      <x:c r="F131" s="10" t="str"/>
      <x:c r="G131" s="2" t="str">
        <x:v>通过</x:v>
      </x:c>
      <x:c r="H131" s="2" t="str">
        <x:v>completed</x:v>
      </x:c>
      <x:c r="I131" s="11" t="n">
        <x:v>1</x:v>
      </x:c>
      <x:c r="J131" s="11" t="n">
        <x:v>1</x:v>
      </x:c>
      <x:c r="K131" s="11" t="str">
        <x:v>resolved</x:v>
      </x:c>
      <x:c r="L131" s="11" t="n">
        <x:v>1</x:v>
      </x:c>
      <x:c r="M131" s="11" t="n">
        <x:v>0</x:v>
      </x:c>
      <x:c r="N131" s="11" t="n">
        <x:v>23</x:v>
      </x:c>
      <x:c r="O131" s="11" t="n">
        <x:v>0</x:v>
      </x:c>
      <x:c r="P131" s="11" t="n">
        <x:v>149710</x:v>
      </x:c>
      <x:c r="Q131" s="11" t="n">
        <x:v>149710</x:v>
      </x:c>
      <x:c r="R131" s="11" t="n">
        <x:v>16</x:v>
      </x:c>
      <x:c r="S131" s="11" t="n">
        <x:v>16</x:v>
      </x:c>
      <x:c r="T131" s="11" t="n">
        <x:v>15</x:v>
      </x:c>
      <x:c r="U131" s="12" t="n">
        <x:v>67.568</x:v>
      </x:c>
      <x:c r="V131" s="9" t="str">
        <x:v>django/contrib/syndication/views.py
docs/ref/contrib/syndication.txt</x:v>
      </x:c>
      <x:c r="W131" s="9" t="str"/>
      <x:c r="X131" s="9" t="str">
        <x:v>task_output-wsl/lite-baseline-001/instances/django__django-13230/attempt-0001/state.json
task_output-wsl/lite-baseline-001/instances/django__django-13230/attempt-0001/state.json</x:v>
      </x:c>
      <x:c r="Y131" s="2" t="str">
        <x:v>thinking
text</x:v>
      </x:c>
      <x:c r="Z131" s="11" t="n">
        <x:v>952</x:v>
      </x:c>
      <x:c r="AA131" s="11" t="n">
        <x:v>0</x:v>
      </x:c>
    </x:row>
    <x:row r="132" ht="37" customHeight="1">
      <x:c r="A132" s="2" t="str">
        <x:v>django__django-13265</x:v>
      </x:c>
      <x:c r="B132" s="2" t="str">
        <x:v>django/django</x:v>
      </x:c>
      <x:c r="C132" s="2" t="str">
        <x:v>resolved</x:v>
      </x:c>
      <x:c r="D132" s="2" t="str">
        <x:v>已解决</x:v>
      </x:c>
      <x:c r="E132" s="10" t="str">
        <x:v>gold通过，最新attempt未记录API终止、runner启动失败或评测基础设施终止；不代表原始全套测试零失败。</x:v>
      </x:c>
      <x:c r="F132" s="10" t="str"/>
      <x:c r="G132" s="2" t="str">
        <x:v>通过</x:v>
      </x:c>
      <x:c r="H132" s="2" t="str">
        <x:v>completed</x:v>
      </x:c>
      <x:c r="I132" s="11" t="n">
        <x:v>1</x:v>
      </x:c>
      <x:c r="J132" s="11" t="n">
        <x:v>1</x:v>
      </x:c>
      <x:c r="K132" s="11" t="str">
        <x:v>resolved</x:v>
      </x:c>
      <x:c r="L132" s="11" t="n">
        <x:v>4</x:v>
      </x:c>
      <x:c r="M132" s="11" t="n">
        <x:v>0</x:v>
      </x:c>
      <x:c r="N132" s="11" t="n">
        <x:v>119</x:v>
      </x:c>
      <x:c r="O132" s="11" t="n">
        <x:v>0</x:v>
      </x:c>
      <x:c r="P132" s="11" t="n">
        <x:v>499565</x:v>
      </x:c>
      <x:c r="Q132" s="11" t="n">
        <x:v>499565</x:v>
      </x:c>
      <x:c r="R132" s="11" t="n">
        <x:v>45</x:v>
      </x:c>
      <x:c r="S132" s="11" t="n">
        <x:v>45</x:v>
      </x:c>
      <x:c r="T132" s="11" t="n">
        <x:v>45</x:v>
      </x:c>
      <x:c r="U132" s="12" t="n">
        <x:v>100.701</x:v>
      </x:c>
      <x:c r="V132" s="9" t="str">
        <x:v>django/db/migrations/autodetector.py</x:v>
      </x:c>
      <x:c r="W132" s="9" t="str"/>
      <x:c r="X132" s="9" t="str">
        <x:v>task_output-wsl/lite-baseline-001/instances/django__django-13265/attempt-0001/state.json
task_output-wsl/lite-baseline-001/instances/django__django-13265/attempt-0001/state.json</x:v>
      </x:c>
      <x:c r="Y132" s="2" t="str">
        <x:v>thinking
text</x:v>
      </x:c>
      <x:c r="Z132" s="11" t="n">
        <x:v>158</x:v>
      </x:c>
      <x:c r="AA132" s="11" t="n">
        <x:v>0</x:v>
      </x:c>
    </x:row>
    <x:row r="133" ht="37" customHeight="1">
      <x:c r="A133" s="2" t="str">
        <x:v>django__django-13315</x:v>
      </x:c>
      <x:c r="B133" s="2" t="str">
        <x:v>django/django</x:v>
      </x:c>
      <x:c r="C133" s="2" t="str">
        <x:v>resolved</x:v>
      </x:c>
      <x:c r="D133" s="2" t="str">
        <x:v>已解决</x:v>
      </x:c>
      <x:c r="E133" s="10" t="str">
        <x:v>gold通过，最新attempt未记录API终止、runner启动失败或评测基础设施终止；不代表原始全套测试零失败。</x:v>
      </x:c>
      <x:c r="F133" s="10" t="str"/>
      <x:c r="G133" s="2" t="str">
        <x:v>通过</x:v>
      </x:c>
      <x:c r="H133" s="2" t="str">
        <x:v>completed</x:v>
      </x:c>
      <x:c r="I133" s="11" t="n">
        <x:v>1</x:v>
      </x:c>
      <x:c r="J133" s="11" t="n">
        <x:v>1</x:v>
      </x:c>
      <x:c r="K133" s="11" t="str">
        <x:v>resolved</x:v>
      </x:c>
      <x:c r="L133" s="11" t="n">
        <x:v>1</x:v>
      </x:c>
      <x:c r="M133" s="11" t="n">
        <x:v>0</x:v>
      </x:c>
      <x:c r="N133" s="11" t="n">
        <x:v>146</x:v>
      </x:c>
      <x:c r="O133" s="11" t="n">
        <x:v>0</x:v>
      </x:c>
      <x:c r="P133" s="11" t="n">
        <x:v>586769</x:v>
      </x:c>
      <x:c r="Q133" s="11" t="n">
        <x:v>586769</x:v>
      </x:c>
      <x:c r="R133" s="11" t="n">
        <x:v>59</x:v>
      </x:c>
      <x:c r="S133" s="11" t="n">
        <x:v>59</x:v>
      </x:c>
      <x:c r="T133" s="11" t="n">
        <x:v>56</x:v>
      </x:c>
      <x:c r="U133" s="12" t="n">
        <x:v>163.956</x:v>
      </x:c>
      <x:c r="V133" s="9" t="str">
        <x:v>django/forms/models.py</x:v>
      </x:c>
      <x:c r="W133" s="9" t="str"/>
      <x:c r="X133" s="9" t="str">
        <x:v>task_output-wsl/lite-baseline-001/instances/django__django-13315/attempt-0001/state.json
task_output-wsl/lite-baseline-001/instances/django__django-13315/attempt-0001/state.json</x:v>
      </x:c>
      <x:c r="Y133" s="2" t="str">
        <x:v>thinking
text</x:v>
      </x:c>
      <x:c r="Z133" s="11" t="n">
        <x:v>196</x:v>
      </x:c>
      <x:c r="AA133" s="11" t="n">
        <x:v>0</x:v>
      </x:c>
    </x:row>
    <x:row r="134" ht="37" customHeight="1">
      <x:c r="A134" s="2" t="str">
        <x:v>django__django-13321</x:v>
      </x:c>
      <x:c r="B134" s="2" t="str">
        <x:v>django/django</x:v>
      </x:c>
      <x:c r="C134" s="2" t="str">
        <x:v>resolved</x:v>
      </x:c>
      <x:c r="D134" s="2" t="str">
        <x:v>已解决</x:v>
      </x:c>
      <x:c r="E134" s="10" t="str">
        <x:v>gold通过，最新attempt未记录API终止、runner启动失败或评测基础设施终止；不代表原始全套测试零失败。</x:v>
      </x:c>
      <x:c r="F134" s="10" t="str"/>
      <x:c r="G134" s="2" t="str">
        <x:v>通过</x:v>
      </x:c>
      <x:c r="H134" s="2" t="str">
        <x:v>completed</x:v>
      </x:c>
      <x:c r="I134" s="11" t="n">
        <x:v>1</x:v>
      </x:c>
      <x:c r="J134" s="11" t="n">
        <x:v>1</x:v>
      </x:c>
      <x:c r="K134" s="11" t="str">
        <x:v>resolved</x:v>
      </x:c>
      <x:c r="L134" s="11" t="n">
        <x:v>355</x:v>
      </x:c>
      <x:c r="M134" s="11" t="n">
        <x:v>0</x:v>
      </x:c>
      <x:c r="N134" s="11" t="n">
        <x:v>0</x:v>
      </x:c>
      <x:c r="O134" s="11" t="n">
        <x:v>0</x:v>
      </x:c>
      <x:c r="P134" s="11" t="n">
        <x:v>127749</x:v>
      </x:c>
      <x:c r="Q134" s="11" t="n">
        <x:v>127749</x:v>
      </x:c>
      <x:c r="R134" s="11" t="n">
        <x:v>13</x:v>
      </x:c>
      <x:c r="S134" s="11" t="n">
        <x:v>13</x:v>
      </x:c>
      <x:c r="T134" s="11" t="n">
        <x:v>13</x:v>
      </x:c>
      <x:c r="U134" s="12" t="n">
        <x:v>38.78</x:v>
      </x:c>
      <x:c r="V134" s="9" t="str">
        <x:v>django/contrib/sessions/backends/base.py</x:v>
      </x:c>
      <x:c r="W134" s="9" t="str"/>
      <x:c r="X134" s="9" t="str">
        <x:v>task_output-wsl/lite-baseline-001/instances/django__django-13321/attempt-0001/state.json
task_output-wsl/lite-baseline-001/instances/django__django-13321/attempt-0001/state.json</x:v>
      </x:c>
      <x:c r="Y134" s="2" t="str">
        <x:v>thinking
text</x:v>
      </x:c>
      <x:c r="Z134" s="11" t="n">
        <x:v>173</x:v>
      </x:c>
      <x:c r="AA134" s="11" t="n">
        <x:v>0</x:v>
      </x:c>
    </x:row>
    <x:row r="135" ht="37" customHeight="1">
      <x:c r="A135" s="2" t="str">
        <x:v>django__django-13401</x:v>
      </x:c>
      <x:c r="B135" s="2" t="str">
        <x:v>django/django</x:v>
      </x:c>
      <x:c r="C135" s="2" t="str">
        <x:v>resolved</x:v>
      </x:c>
      <x:c r="D135" s="2" t="str">
        <x:v>已解决</x:v>
      </x:c>
      <x:c r="E135" s="10" t="str">
        <x:v>gold通过，最新attempt未记录API终止、runner启动失败或评测基础设施终止；不代表原始全套测试零失败。</x:v>
      </x:c>
      <x:c r="F135" s="10" t="str"/>
      <x:c r="G135" s="2" t="str">
        <x:v>通过</x:v>
      </x:c>
      <x:c r="H135" s="2" t="str">
        <x:v>completed</x:v>
      </x:c>
      <x:c r="I135" s="11" t="n">
        <x:v>1</x:v>
      </x:c>
      <x:c r="J135" s="11" t="n">
        <x:v>1</x:v>
      </x:c>
      <x:c r="K135" s="11" t="str">
        <x:v>resolved</x:v>
      </x:c>
      <x:c r="L135" s="11" t="n">
        <x:v>1</x:v>
      </x:c>
      <x:c r="M135" s="11" t="n">
        <x:v>0</x:v>
      </x:c>
      <x:c r="N135" s="11" t="n">
        <x:v>32</x:v>
      </x:c>
      <x:c r="O135" s="11" t="n">
        <x:v>0</x:v>
      </x:c>
      <x:c r="P135" s="11" t="n">
        <x:v>110906</x:v>
      </x:c>
      <x:c r="Q135" s="11" t="n">
        <x:v>110906</x:v>
      </x:c>
      <x:c r="R135" s="11" t="n">
        <x:v>13</x:v>
      </x:c>
      <x:c r="S135" s="11" t="n">
        <x:v>13</x:v>
      </x:c>
      <x:c r="T135" s="11" t="n">
        <x:v>13</x:v>
      </x:c>
      <x:c r="U135" s="12" t="n">
        <x:v>42.999</x:v>
      </x:c>
      <x:c r="V135" s="9" t="str">
        <x:v>django/db/models/fields/__init__.py</x:v>
      </x:c>
      <x:c r="W135" s="9" t="str"/>
      <x:c r="X135" s="9" t="str">
        <x:v>task_output-wsl/lite-baseline-001/instances/django__django-13401/attempt-0001/state.json
task_output-wsl/lite-baseline-001/instances/django__django-13401/attempt-0001/state.json</x:v>
      </x:c>
      <x:c r="Y135" s="2" t="str">
        <x:v>thinking
text</x:v>
      </x:c>
      <x:c r="Z135" s="11" t="n">
        <x:v>364</x:v>
      </x:c>
      <x:c r="AA135" s="11" t="n">
        <x:v>0</x:v>
      </x:c>
    </x:row>
    <x:row r="136" ht="37" customHeight="1">
      <x:c r="A136" s="2" t="str">
        <x:v>django__django-13447</x:v>
      </x:c>
      <x:c r="B136" s="2" t="str">
        <x:v>django/django</x:v>
      </x:c>
      <x:c r="C136" s="2" t="str">
        <x:v>resolved</x:v>
      </x:c>
      <x:c r="D136" s="2" t="str">
        <x:v>已解决</x:v>
      </x:c>
      <x:c r="E136" s="10" t="str">
        <x:v>gold通过，最新attempt未记录API终止、runner启动失败或评测基础设施终止；不代表原始全套测试零失败。</x:v>
      </x:c>
      <x:c r="F136" s="10" t="str"/>
      <x:c r="G136" s="2" t="str">
        <x:v>通过</x:v>
      </x:c>
      <x:c r="H136" s="2" t="str">
        <x:v>completed</x:v>
      </x:c>
      <x:c r="I136" s="11" t="n">
        <x:v>1</x:v>
      </x:c>
      <x:c r="J136" s="11" t="n">
        <x:v>1</x:v>
      </x:c>
      <x:c r="K136" s="11" t="str">
        <x:v>resolved</x:v>
      </x:c>
      <x:c r="L136" s="11" t="n">
        <x:v>1</x:v>
      </x:c>
      <x:c r="M136" s="11" t="n">
        <x:v>0</x:v>
      </x:c>
      <x:c r="N136" s="11" t="n">
        <x:v>5</x:v>
      </x:c>
      <x:c r="O136" s="11" t="n">
        <x:v>0</x:v>
      </x:c>
      <x:c r="P136" s="11" t="n">
        <x:v>207608</x:v>
      </x:c>
      <x:c r="Q136" s="11" t="n">
        <x:v>207608</x:v>
      </x:c>
      <x:c r="R136" s="11" t="n">
        <x:v>21</x:v>
      </x:c>
      <x:c r="S136" s="11" t="n">
        <x:v>21</x:v>
      </x:c>
      <x:c r="T136" s="11" t="n">
        <x:v>21</x:v>
      </x:c>
      <x:c r="U136" s="12" t="n">
        <x:v>95.625</x:v>
      </x:c>
      <x:c r="V136" s="9" t="str">
        <x:v>django/contrib/admin/sites.py</x:v>
      </x:c>
      <x:c r="W136" s="9" t="str"/>
      <x:c r="X136" s="9" t="str">
        <x:v>task_output-wsl/lite-baseline-001/instances/django__django-13447/attempt-0001/state.json
task_output-wsl/lite-baseline-001/instances/django__django-13447/attempt-0001/state.json</x:v>
      </x:c>
      <x:c r="Y136" s="2" t="str">
        <x:v>thinking
text</x:v>
      </x:c>
      <x:c r="Z136" s="11" t="n">
        <x:v>136</x:v>
      </x:c>
      <x:c r="AA136" s="11" t="n">
        <x:v>0</x:v>
      </x:c>
    </x:row>
    <x:row r="137" ht="37" customHeight="1">
      <x:c r="A137" s="2" t="str">
        <x:v>django__django-13448</x:v>
      </x:c>
      <x:c r="B137" s="2" t="str">
        <x:v>django/django</x:v>
      </x:c>
      <x:c r="C137" s="2" t="str">
        <x:v>resolved</x:v>
      </x:c>
      <x:c r="D137" s="2" t="str">
        <x:v>已解决</x:v>
      </x:c>
      <x:c r="E137" s="10" t="str">
        <x:v>gold通过，最新attempt未记录API终止、runner启动失败或评测基础设施终止；不代表原始全套测试零失败。</x:v>
      </x:c>
      <x:c r="F137" s="10" t="str"/>
      <x:c r="G137" s="2" t="str">
        <x:v>通过</x:v>
      </x:c>
      <x:c r="H137" s="2" t="str">
        <x:v>completed</x:v>
      </x:c>
      <x:c r="I137" s="11" t="n">
        <x:v>1</x:v>
      </x:c>
      <x:c r="J137" s="11" t="n">
        <x:v>1</x:v>
      </x:c>
      <x:c r="K137" s="11" t="str">
        <x:v>resolved</x:v>
      </x:c>
      <x:c r="L137" s="11" t="n">
        <x:v>1</x:v>
      </x:c>
      <x:c r="M137" s="11" t="n">
        <x:v>0</x:v>
      </x:c>
      <x:c r="N137" s="11" t="n">
        <x:v>7</x:v>
      </x:c>
      <x:c r="O137" s="11" t="n">
        <x:v>0</x:v>
      </x:c>
      <x:c r="P137" s="11" t="n">
        <x:v>425102</x:v>
      </x:c>
      <x:c r="Q137" s="11" t="n">
        <x:v>425102</x:v>
      </x:c>
      <x:c r="R137" s="11" t="n">
        <x:v>39</x:v>
      </x:c>
      <x:c r="S137" s="11" t="n">
        <x:v>39</x:v>
      </x:c>
      <x:c r="T137" s="11" t="n">
        <x:v>37</x:v>
      </x:c>
      <x:c r="U137" s="12" t="n">
        <x:v>101.034</x:v>
      </x:c>
      <x:c r="V137" s="9" t="str">
        <x:v>django/db/backends/base/creation.py
docs/ref/settings.txt</x:v>
      </x:c>
      <x:c r="W137" s="9" t="str"/>
      <x:c r="X137" s="9" t="str">
        <x:v>task_output-wsl/lite-baseline-001/instances/django__django-13448/attempt-0001/state.json
task_output-wsl/lite-baseline-001/instances/django__django-13448/attempt-0001/state.json</x:v>
      </x:c>
      <x:c r="Y137" s="2" t="str">
        <x:v>thinking
text</x:v>
      </x:c>
      <x:c r="Z137" s="11" t="n">
        <x:v>939</x:v>
      </x:c>
      <x:c r="AA137" s="11" t="n">
        <x:v>0</x:v>
      </x:c>
    </x:row>
    <x:row r="138" ht="37" customHeight="1">
      <x:c r="A138" s="2" t="str">
        <x:v>django__django-13551</x:v>
      </x:c>
      <x:c r="B138" s="2" t="str">
        <x:v>django/django</x:v>
      </x:c>
      <x:c r="C138" s="2" t="str">
        <x:v>resolved</x:v>
      </x:c>
      <x:c r="D138" s="2" t="str">
        <x:v>已解决</x:v>
      </x:c>
      <x:c r="E138" s="10" t="str">
        <x:v>gold通过，最新attempt未记录API终止、runner启动失败或评测基础设施终止；不代表原始全套测试零失败。</x:v>
      </x:c>
      <x:c r="F138" s="10" t="str"/>
      <x:c r="G138" s="2" t="str">
        <x:v>通过</x:v>
      </x:c>
      <x:c r="H138" s="2" t="str">
        <x:v>completed</x:v>
      </x:c>
      <x:c r="I138" s="11" t="n">
        <x:v>1</x:v>
      </x:c>
      <x:c r="J138" s="11" t="n">
        <x:v>1</x:v>
      </x:c>
      <x:c r="K138" s="11" t="str">
        <x:v>resolved</x:v>
      </x:c>
      <x:c r="L138" s="11" t="n">
        <x:v>2</x:v>
      </x:c>
      <x:c r="M138" s="11" t="n">
        <x:v>0</x:v>
      </x:c>
      <x:c r="N138" s="11" t="n">
        <x:v>56</x:v>
      </x:c>
      <x:c r="O138" s="11" t="n">
        <x:v>0</x:v>
      </x:c>
      <x:c r="P138" s="11" t="n">
        <x:v>112942</x:v>
      </x:c>
      <x:c r="Q138" s="11" t="n">
        <x:v>112942</x:v>
      </x:c>
      <x:c r="R138" s="11" t="n">
        <x:v>13</x:v>
      </x:c>
      <x:c r="S138" s="11" t="n">
        <x:v>13</x:v>
      </x:c>
      <x:c r="T138" s="11" t="n">
        <x:v>13</x:v>
      </x:c>
      <x:c r="U138" s="12" t="n">
        <x:v>40.094</x:v>
      </x:c>
      <x:c r="V138" s="9" t="str">
        <x:v>django/contrib/auth/tokens.py</x:v>
      </x:c>
      <x:c r="W138" s="9" t="str"/>
      <x:c r="X138" s="9" t="str">
        <x:v>task_output-wsl/lite-baseline-001/instances/django__django-13551/attempt-0001/state.json
task_output-wsl/lite-baseline-001/instances/django__django-13551/attempt-0001/state.json</x:v>
      </x:c>
      <x:c r="Y138" s="2" t="str">
        <x:v>thinking
text</x:v>
      </x:c>
      <x:c r="Z138" s="11" t="n">
        <x:v>539</x:v>
      </x:c>
      <x:c r="AA138" s="11" t="n">
        <x:v>0</x:v>
      </x:c>
    </x:row>
    <x:row r="139" ht="37" customHeight="1">
      <x:c r="A139" s="2" t="str">
        <x:v>django__django-13590</x:v>
      </x:c>
      <x:c r="B139" s="2" t="str">
        <x:v>django/django</x:v>
      </x:c>
      <x:c r="C139" s="2" t="str">
        <x:v>resolved</x:v>
      </x:c>
      <x:c r="D139" s="2" t="str">
        <x:v>已解决</x:v>
      </x:c>
      <x:c r="E139" s="10" t="str">
        <x:v>gold通过，最新attempt未记录API终止、runner启动失败或评测基础设施终止；不代表原始全套测试零失败。</x:v>
      </x:c>
      <x:c r="F139" s="10" t="str"/>
      <x:c r="G139" s="2" t="str">
        <x:v>通过</x:v>
      </x:c>
      <x:c r="H139" s="2" t="str">
        <x:v>completed</x:v>
      </x:c>
      <x:c r="I139" s="11" t="n">
        <x:v>1</x:v>
      </x:c>
      <x:c r="J139" s="11" t="n">
        <x:v>1</x:v>
      </x:c>
      <x:c r="K139" s="11" t="str">
        <x:v>resolved</x:v>
      </x:c>
      <x:c r="L139" s="11" t="n">
        <x:v>1</x:v>
      </x:c>
      <x:c r="M139" s="11" t="n">
        <x:v>0</x:v>
      </x:c>
      <x:c r="N139" s="11" t="n">
        <x:v>145</x:v>
      </x:c>
      <x:c r="O139" s="11" t="n">
        <x:v>0</x:v>
      </x:c>
      <x:c r="P139" s="11" t="n">
        <x:v>96671</x:v>
      </x:c>
      <x:c r="Q139" s="11" t="n">
        <x:v>96671</x:v>
      </x:c>
      <x:c r="R139" s="11" t="n">
        <x:v>17</x:v>
      </x:c>
      <x:c r="S139" s="11" t="n">
        <x:v>17</x:v>
      </x:c>
      <x:c r="T139" s="11" t="n">
        <x:v>17</x:v>
      </x:c>
      <x:c r="U139" s="12" t="n">
        <x:v>39.998</x:v>
      </x:c>
      <x:c r="V139" s="9" t="str">
        <x:v>django/db/models/sql/query.py</x:v>
      </x:c>
      <x:c r="W139" s="9" t="str"/>
      <x:c r="X139" s="9" t="str">
        <x:v>task_output-wsl/lite-baseline-001/instances/django__django-13590/attempt-0001/state.json
task_output-wsl/lite-baseline-001/instances/django__django-13590/attempt-0001/state.json</x:v>
      </x:c>
      <x:c r="Y139" s="2" t="str">
        <x:v>thinking
text</x:v>
      </x:c>
      <x:c r="Z139" s="11" t="n">
        <x:v>367</x:v>
      </x:c>
      <x:c r="AA139" s="11" t="n">
        <x:v>0</x:v>
      </x:c>
    </x:row>
    <x:row r="140" ht="37" customHeight="1">
      <x:c r="A140" s="2" t="str">
        <x:v>django__django-13658</x:v>
      </x:c>
      <x:c r="B140" s="2" t="str">
        <x:v>django/django</x:v>
      </x:c>
      <x:c r="C140" s="2" t="str">
        <x:v>resolved</x:v>
      </x:c>
      <x:c r="D140" s="2" t="str">
        <x:v>已解决</x:v>
      </x:c>
      <x:c r="E140" s="10" t="str">
        <x:v>gold通过，最新attempt未记录API终止、runner启动失败或评测基础设施终止；不代表原始全套测试零失败。</x:v>
      </x:c>
      <x:c r="F140" s="10" t="str"/>
      <x:c r="G140" s="2" t="str">
        <x:v>通过</x:v>
      </x:c>
      <x:c r="H140" s="2" t="str">
        <x:v>completed</x:v>
      </x:c>
      <x:c r="I140" s="11" t="n">
        <x:v>1</x:v>
      </x:c>
      <x:c r="J140" s="11" t="n">
        <x:v>1</x:v>
      </x:c>
      <x:c r="K140" s="11" t="str">
        <x:v>resolved</x:v>
      </x:c>
      <x:c r="L140" s="11" t="n">
        <x:v>1</x:v>
      </x:c>
      <x:c r="M140" s="11" t="n">
        <x:v>0</x:v>
      </x:c>
      <x:c r="N140" s="11" t="n">
        <x:v>181</x:v>
      </x:c>
      <x:c r="O140" s="11" t="n">
        <x:v>0</x:v>
      </x:c>
      <x:c r="P140" s="11" t="n">
        <x:v>49270</x:v>
      </x:c>
      <x:c r="Q140" s="11" t="n">
        <x:v>49270</x:v>
      </x:c>
      <x:c r="R140" s="11" t="n">
        <x:v>12</x:v>
      </x:c>
      <x:c r="S140" s="11" t="n">
        <x:v>12</x:v>
      </x:c>
      <x:c r="T140" s="11" t="n">
        <x:v>12</x:v>
      </x:c>
      <x:c r="U140" s="12" t="n">
        <x:v>35.806</x:v>
      </x:c>
      <x:c r="V140" s="9" t="str">
        <x:v>django/core/management/__init__.py</x:v>
      </x:c>
      <x:c r="W140" s="9" t="str"/>
      <x:c r="X140" s="9" t="str">
        <x:v>task_output-wsl/lite-baseline-001/instances/django__django-13658/attempt-0001/state.json
task_output-wsl/lite-baseline-001/instances/django__django-13658/attempt-0001/state.json</x:v>
      </x:c>
      <x:c r="Y140" s="2" t="str">
        <x:v>thinking
text</x:v>
      </x:c>
      <x:c r="Z140" s="11" t="n">
        <x:v>171</x:v>
      </x:c>
      <x:c r="AA140" s="11" t="n">
        <x:v>0</x:v>
      </x:c>
    </x:row>
    <x:row r="141" ht="37" customHeight="1">
      <x:c r="A141" s="2" t="str">
        <x:v>django__django-13710</x:v>
      </x:c>
      <x:c r="B141" s="2" t="str">
        <x:v>django/django</x:v>
      </x:c>
      <x:c r="C141" s="2" t="str">
        <x:v>resolved</x:v>
      </x:c>
      <x:c r="D141" s="2" t="str">
        <x:v>已解决</x:v>
      </x:c>
      <x:c r="E141" s="10" t="str">
        <x:v>gold通过，最新attempt未记录API终止、runner启动失败或评测基础设施终止；不代表原始全套测试零失败。</x:v>
      </x:c>
      <x:c r="F141" s="10" t="str"/>
      <x:c r="G141" s="2" t="str">
        <x:v>通过</x:v>
      </x:c>
      <x:c r="H141" s="2" t="str">
        <x:v>completed</x:v>
      </x:c>
      <x:c r="I141" s="11" t="n">
        <x:v>1</x:v>
      </x:c>
      <x:c r="J141" s="11" t="n">
        <x:v>1</x:v>
      </x:c>
      <x:c r="K141" s="11" t="str">
        <x:v>resolved</x:v>
      </x:c>
      <x:c r="L141" s="11" t="n">
        <x:v>1</x:v>
      </x:c>
      <x:c r="M141" s="11" t="n">
        <x:v>0</x:v>
      </x:c>
      <x:c r="N141" s="11" t="n">
        <x:v>62</x:v>
      </x:c>
      <x:c r="O141" s="11" t="n">
        <x:v>0</x:v>
      </x:c>
      <x:c r="P141" s="11" t="n">
        <x:v>224283</x:v>
      </x:c>
      <x:c r="Q141" s="11" t="n">
        <x:v>224283</x:v>
      </x:c>
      <x:c r="R141" s="11" t="n">
        <x:v>23</x:v>
      </x:c>
      <x:c r="S141" s="11" t="n">
        <x:v>23</x:v>
      </x:c>
      <x:c r="T141" s="11" t="n">
        <x:v>22</x:v>
      </x:c>
      <x:c r="U141" s="12" t="n">
        <x:v>76.182</x:v>
      </x:c>
      <x:c r="V141" s="9" t="str">
        <x:v>django/contrib/admin/options.py</x:v>
      </x:c>
      <x:c r="W141" s="9" t="str"/>
      <x:c r="X141" s="9" t="str">
        <x:v>task_output-wsl/lite-baseline-001/instances/django__django-13710/attempt-0001/state.json
task_output-wsl/lite-baseline-001/instances/django__django-13710/attempt-0001/state.json</x:v>
      </x:c>
      <x:c r="Y141" s="2" t="str">
        <x:v>thinking
text</x:v>
      </x:c>
      <x:c r="Z141" s="11" t="n">
        <x:v>519</x:v>
      </x:c>
      <x:c r="AA141" s="11" t="n">
        <x:v>0</x:v>
      </x:c>
    </x:row>
    <x:row r="142" ht="37" customHeight="1">
      <x:c r="A142" s="2" t="str">
        <x:v>django__django-13757</x:v>
      </x:c>
      <x:c r="B142" s="2" t="str">
        <x:v>django/django</x:v>
      </x:c>
      <x:c r="C142" s="2" t="str">
        <x:v>resolved</x:v>
      </x:c>
      <x:c r="D142" s="2" t="str">
        <x:v>已解决</x:v>
      </x:c>
      <x:c r="E142" s="10" t="str">
        <x:v>gold通过，最新attempt未记录API终止、runner启动失败或评测基础设施终止；不代表原始全套测试零失败。</x:v>
      </x:c>
      <x:c r="F142" s="10" t="str"/>
      <x:c r="G142" s="2" t="str">
        <x:v>通过</x:v>
      </x:c>
      <x:c r="H142" s="2" t="str">
        <x:v>completed</x:v>
      </x:c>
      <x:c r="I142" s="11" t="n">
        <x:v>1</x:v>
      </x:c>
      <x:c r="J142" s="11" t="n">
        <x:v>1</x:v>
      </x:c>
      <x:c r="K142" s="11" t="str">
        <x:v>resolved</x:v>
      </x:c>
      <x:c r="L142" s="11" t="n">
        <x:v>1</x:v>
      </x:c>
      <x:c r="M142" s="11" t="n">
        <x:v>0</x:v>
      </x:c>
      <x:c r="N142" s="11" t="n">
        <x:v>76</x:v>
      </x:c>
      <x:c r="O142" s="11" t="n">
        <x:v>0</x:v>
      </x:c>
      <x:c r="P142" s="11" t="n">
        <x:v>232904</x:v>
      </x:c>
      <x:c r="Q142" s="11" t="n">
        <x:v>232904</x:v>
      </x:c>
      <x:c r="R142" s="11" t="n">
        <x:v>20</x:v>
      </x:c>
      <x:c r="S142" s="11" t="n">
        <x:v>20</x:v>
      </x:c>
      <x:c r="T142" s="11" t="n">
        <x:v>20</x:v>
      </x:c>
      <x:c r="U142" s="12" t="n">
        <x:v>56.962</x:v>
      </x:c>
      <x:c r="V142" s="9" t="str">
        <x:v>django/db/models/fields/json.py</x:v>
      </x:c>
      <x:c r="W142" s="9" t="str"/>
      <x:c r="X142" s="9" t="str">
        <x:v>task_output-wsl/lite-baseline-001/instances/django__django-13757/attempt-0001/state.json
task_output-wsl/lite-baseline-001/instances/django__django-13757/attempt-0001/state.json</x:v>
      </x:c>
      <x:c r="Y142" s="2" t="str">
        <x:v>thinking
text</x:v>
      </x:c>
      <x:c r="Z142" s="11" t="n">
        <x:v>209</x:v>
      </x:c>
      <x:c r="AA142" s="11" t="n">
        <x:v>0</x:v>
      </x:c>
    </x:row>
    <x:row r="143" ht="37" customHeight="1">
      <x:c r="A143" s="2" t="str">
        <x:v>django__django-13768</x:v>
      </x:c>
      <x:c r="B143" s="2" t="str">
        <x:v>django/django</x:v>
      </x:c>
      <x:c r="C143" s="2" t="str">
        <x:v>resolved</x:v>
      </x:c>
      <x:c r="D143" s="2" t="str">
        <x:v>已解决</x:v>
      </x:c>
      <x:c r="E143" s="10" t="str">
        <x:v>gold通过，最新attempt未记录API终止、runner启动失败或评测基础设施终止；不代表原始全套测试零失败。</x:v>
      </x:c>
      <x:c r="F143" s="10" t="str"/>
      <x:c r="G143" s="2" t="str">
        <x:v>通过</x:v>
      </x:c>
      <x:c r="H143" s="2" t="str">
        <x:v>completed</x:v>
      </x:c>
      <x:c r="I143" s="11" t="n">
        <x:v>2</x:v>
      </x:c>
      <x:c r="J143" s="11" t="n">
        <x:v>1</x:v>
      </x:c>
      <x:c r="K143" s="11" t="str">
        <x:v>error</x:v>
      </x:c>
      <x:c r="L143" s="11" t="n">
        <x:v>1</x:v>
      </x:c>
      <x:c r="M143" s="11" t="n">
        <x:v>0</x:v>
      </x:c>
      <x:c r="N143" s="11" t="n">
        <x:v>18</x:v>
      </x:c>
      <x:c r="O143" s="11" t="n">
        <x:v>0</x:v>
      </x:c>
      <x:c r="P143" s="11" t="n">
        <x:v>34468</x:v>
      </x:c>
      <x:c r="Q143" s="11" t="n">
        <x:v>34468</x:v>
      </x:c>
      <x:c r="R143" s="11" t="n">
        <x:v>8</x:v>
      </x:c>
      <x:c r="S143" s="11" t="n">
        <x:v>8</x:v>
      </x:c>
      <x:c r="T143" s="11" t="n">
        <x:v>8</x:v>
      </x:c>
      <x:c r="U143" s="12" t="n">
        <x:v>13.132</x:v>
      </x:c>
      <x:c r="V143" s="9" t="str">
        <x:v>django/dispatch/dispatcher.py</x:v>
      </x:c>
      <x:c r="W143" s="9" t="str"/>
      <x:c r="X143" s="9" t="str">
        <x:v>task_output-wsl/lite-baseline-001/instances/django__django-13768/attempt-0002/state.json
task_output-wsl/lite-baseline-001/instances/django__django-13768/attempt-0002/state.json</x:v>
      </x:c>
      <x:c r="Y143" s="2" t="str">
        <x:v>thinking
text</x:v>
      </x:c>
      <x:c r="Z143" s="11" t="n">
        <x:v>333</x:v>
      </x:c>
      <x:c r="AA143" s="11" t="n">
        <x:v>0</x:v>
      </x:c>
    </x:row>
    <x:row r="144" ht="37" customHeight="1">
      <x:c r="A144" s="2" t="str">
        <x:v>django__django-13925</x:v>
      </x:c>
      <x:c r="B144" s="2" t="str">
        <x:v>django/django</x:v>
      </x:c>
      <x:c r="C144" s="2" t="str">
        <x:v>resolved</x:v>
      </x:c>
      <x:c r="D144" s="2" t="str">
        <x:v>已解决</x:v>
      </x:c>
      <x:c r="E144" s="10" t="str">
        <x:v>gold通过，最新attempt未记录API终止、runner启动失败或评测基础设施终止；不代表原始全套测试零失败。</x:v>
      </x:c>
      <x:c r="F144" s="10" t="str"/>
      <x:c r="G144" s="2" t="str">
        <x:v>通过</x:v>
      </x:c>
      <x:c r="H144" s="2" t="str">
        <x:v>completed</x:v>
      </x:c>
      <x:c r="I144" s="11" t="n">
        <x:v>1</x:v>
      </x:c>
      <x:c r="J144" s="11" t="n">
        <x:v>1</x:v>
      </x:c>
      <x:c r="K144" s="11" t="str">
        <x:v>resolved</x:v>
      </x:c>
      <x:c r="L144" s="11" t="n">
        <x:v>2</x:v>
      </x:c>
      <x:c r="M144" s="11" t="n">
        <x:v>0</x:v>
      </x:c>
      <x:c r="N144" s="11" t="n">
        <x:v>24</x:v>
      </x:c>
      <x:c r="O144" s="11" t="n">
        <x:v>0</x:v>
      </x:c>
      <x:c r="P144" s="11" t="n">
        <x:v>494028</x:v>
      </x:c>
      <x:c r="Q144" s="11" t="n">
        <x:v>494028</x:v>
      </x:c>
      <x:c r="R144" s="11" t="n">
        <x:v>46</x:v>
      </x:c>
      <x:c r="S144" s="11" t="n">
        <x:v>46</x:v>
      </x:c>
      <x:c r="T144" s="11" t="n">
        <x:v>44</x:v>
      </x:c>
      <x:c r="U144" s="12" t="n">
        <x:v>124.678</x:v>
      </x:c>
      <x:c r="V144" s="9" t="str">
        <x:v>django/db/models/base.py</x:v>
      </x:c>
      <x:c r="W144" s="9" t="str"/>
      <x:c r="X144" s="9" t="str">
        <x:v>task_output-wsl/lite-baseline-001/instances/django__django-13925/attempt-0001/state.json
task_output-wsl/lite-baseline-001/instances/django__django-13925/attempt-0001/state.json</x:v>
      </x:c>
      <x:c r="Y144" s="2" t="str">
        <x:v>thinking
text</x:v>
      </x:c>
      <x:c r="Z144" s="11" t="n">
        <x:v>135</x:v>
      </x:c>
      <x:c r="AA144" s="11" t="n">
        <x:v>0</x:v>
      </x:c>
    </x:row>
    <x:row r="145" ht="37" customHeight="1">
      <x:c r="A145" s="2" t="str">
        <x:v>django__django-13933</x:v>
      </x:c>
      <x:c r="B145" s="2" t="str">
        <x:v>django/django</x:v>
      </x:c>
      <x:c r="C145" s="2" t="str">
        <x:v>resolved</x:v>
      </x:c>
      <x:c r="D145" s="2" t="str">
        <x:v>已解决</x:v>
      </x:c>
      <x:c r="E145" s="10" t="str">
        <x:v>gold通过，最新attempt未记录API终止、runner启动失败或评测基础设施终止；不代表原始全套测试零失败。</x:v>
      </x:c>
      <x:c r="F145" s="10" t="str"/>
      <x:c r="G145" s="2" t="str">
        <x:v>通过</x:v>
      </x:c>
      <x:c r="H145" s="2" t="str">
        <x:v>completed</x:v>
      </x:c>
      <x:c r="I145" s="11" t="n">
        <x:v>1</x:v>
      </x:c>
      <x:c r="J145" s="11" t="n">
        <x:v>1</x:v>
      </x:c>
      <x:c r="K145" s="11" t="str">
        <x:v>resolved</x:v>
      </x:c>
      <x:c r="L145" s="11" t="n">
        <x:v>1</x:v>
      </x:c>
      <x:c r="M145" s="11" t="n">
        <x:v>0</x:v>
      </x:c>
      <x:c r="N145" s="11" t="n">
        <x:v>19</x:v>
      </x:c>
      <x:c r="O145" s="11" t="n">
        <x:v>0</x:v>
      </x:c>
      <x:c r="P145" s="11" t="n">
        <x:v>96269</x:v>
      </x:c>
      <x:c r="Q145" s="11" t="n">
        <x:v>96269</x:v>
      </x:c>
      <x:c r="R145" s="11" t="n">
        <x:v>11</x:v>
      </x:c>
      <x:c r="S145" s="11" t="n">
        <x:v>11</x:v>
      </x:c>
      <x:c r="T145" s="11" t="n">
        <x:v>11</x:v>
      </x:c>
      <x:c r="U145" s="12" t="n">
        <x:v>24.913</x:v>
      </x:c>
      <x:c r="V145" s="9" t="str">
        <x:v>django/forms/models.py</x:v>
      </x:c>
      <x:c r="W145" s="9" t="str"/>
      <x:c r="X145" s="9" t="str">
        <x:v>task_output-wsl/lite-baseline-001/instances/django__django-13933/attempt-0001/state.json
task_output-wsl/lite-baseline-001/instances/django__django-13933/attempt-0001/state.json</x:v>
      </x:c>
      <x:c r="Y145" s="2" t="str">
        <x:v>thinking
text</x:v>
      </x:c>
      <x:c r="Z145" s="11" t="n">
        <x:v>311</x:v>
      </x:c>
      <x:c r="AA145" s="11" t="n">
        <x:v>0</x:v>
      </x:c>
    </x:row>
    <x:row r="146" ht="37" customHeight="1">
      <x:c r="A146" s="2" t="str">
        <x:v>django__django-13964</x:v>
      </x:c>
      <x:c r="B146" s="2" t="str">
        <x:v>django/django</x:v>
      </x:c>
      <x:c r="C146" s="2" t="str">
        <x:v>resolved</x:v>
      </x:c>
      <x:c r="D146" s="2" t="str">
        <x:v>已解决</x:v>
      </x:c>
      <x:c r="E146" s="10" t="str">
        <x:v>gold通过，最新attempt未记录API终止、runner启动失败或评测基础设施终止；不代表原始全套测试零失败。</x:v>
      </x:c>
      <x:c r="F146" s="10" t="str"/>
      <x:c r="G146" s="2" t="str">
        <x:v>通过</x:v>
      </x:c>
      <x:c r="H146" s="2" t="str">
        <x:v>completed</x:v>
      </x:c>
      <x:c r="I146" s="11" t="n">
        <x:v>1</x:v>
      </x:c>
      <x:c r="J146" s="11" t="n">
        <x:v>1</x:v>
      </x:c>
      <x:c r="K146" s="11" t="str">
        <x:v>resolved</x:v>
      </x:c>
      <x:c r="L146" s="11" t="n">
        <x:v>1</x:v>
      </x:c>
      <x:c r="M146" s="11" t="n">
        <x:v>0</x:v>
      </x:c>
      <x:c r="N146" s="11" t="n">
        <x:v>36</x:v>
      </x:c>
      <x:c r="O146" s="11" t="n">
        <x:v>0</x:v>
      </x:c>
      <x:c r="P146" s="11" t="n">
        <x:v>214172</x:v>
      </x:c>
      <x:c r="Q146" s="11" t="n">
        <x:v>214172</x:v>
      </x:c>
      <x:c r="R146" s="11" t="n">
        <x:v>25</x:v>
      </x:c>
      <x:c r="S146" s="11" t="n">
        <x:v>25</x:v>
      </x:c>
      <x:c r="T146" s="11" t="n">
        <x:v>24</x:v>
      </x:c>
      <x:c r="U146" s="12" t="n">
        <x:v>54.621</x:v>
      </x:c>
      <x:c r="V146" s="9" t="str">
        <x:v>django/db/models/base.py</x:v>
      </x:c>
      <x:c r="W146" s="9" t="str"/>
      <x:c r="X146" s="9" t="str">
        <x:v>task_output-wsl/lite-baseline-001/instances/django__django-13964/attempt-0001/state.json
task_output-wsl/lite-baseline-001/instances/django__django-13964/attempt-0001/state.json</x:v>
      </x:c>
      <x:c r="Y146" s="2" t="str">
        <x:v>thinking
text</x:v>
      </x:c>
      <x:c r="Z146" s="11" t="n">
        <x:v>274</x:v>
      </x:c>
      <x:c r="AA146" s="11" t="n">
        <x:v>0</x:v>
      </x:c>
    </x:row>
    <x:row r="147" ht="37" customHeight="1">
      <x:c r="A147" s="2" t="str">
        <x:v>django__django-14016</x:v>
      </x:c>
      <x:c r="B147" s="2" t="str">
        <x:v>django/django</x:v>
      </x:c>
      <x:c r="C147" s="2" t="str">
        <x:v>resolved</x:v>
      </x:c>
      <x:c r="D147" s="2" t="str">
        <x:v>已解决</x:v>
      </x:c>
      <x:c r="E147" s="10" t="str">
        <x:v>gold通过，最新attempt未记录API终止、runner启动失败或评测基础设施终止；不代表原始全套测试零失败。</x:v>
      </x:c>
      <x:c r="F147" s="10" t="str"/>
      <x:c r="G147" s="2" t="str">
        <x:v>通过</x:v>
      </x:c>
      <x:c r="H147" s="2" t="str">
        <x:v>completed</x:v>
      </x:c>
      <x:c r="I147" s="11" t="n">
        <x:v>1</x:v>
      </x:c>
      <x:c r="J147" s="11" t="n">
        <x:v>1</x:v>
      </x:c>
      <x:c r="K147" s="11" t="str">
        <x:v>resolved</x:v>
      </x:c>
      <x:c r="L147" s="11" t="n">
        <x:v>2</x:v>
      </x:c>
      <x:c r="M147" s="11" t="n">
        <x:v>0</x:v>
      </x:c>
      <x:c r="N147" s="11" t="n">
        <x:v>13</x:v>
      </x:c>
      <x:c r="O147" s="11" t="n">
        <x:v>0</x:v>
      </x:c>
      <x:c r="P147" s="11" t="n">
        <x:v>323709</x:v>
      </x:c>
      <x:c r="Q147" s="11" t="n">
        <x:v>323709</x:v>
      </x:c>
      <x:c r="R147" s="11" t="n">
        <x:v>28</x:v>
      </x:c>
      <x:c r="S147" s="11" t="n">
        <x:v>28</x:v>
      </x:c>
      <x:c r="T147" s="11" t="n">
        <x:v>28</x:v>
      </x:c>
      <x:c r="U147" s="12" t="n">
        <x:v>70.365</x:v>
      </x:c>
      <x:c r="V147" s="9" t="str">
        <x:v>django/db/models/query_utils.py</x:v>
      </x:c>
      <x:c r="W147" s="9" t="str"/>
      <x:c r="X147" s="9" t="str">
        <x:v>task_output-wsl/lite-baseline-001/instances/django__django-14016/attempt-0001/state.json
task_output-wsl/lite-baseline-001/instances/django__django-14016/attempt-0001/state.json</x:v>
      </x:c>
      <x:c r="Y147" s="2" t="str">
        <x:v>thinking
text</x:v>
      </x:c>
      <x:c r="Z147" s="11" t="n">
        <x:v>261</x:v>
      </x:c>
      <x:c r="AA147" s="11" t="n">
        <x:v>0</x:v>
      </x:c>
    </x:row>
    <x:row r="148" ht="37" customHeight="1">
      <x:c r="A148" s="2" t="str">
        <x:v>django__django-14238</x:v>
      </x:c>
      <x:c r="B148" s="2" t="str">
        <x:v>django/django</x:v>
      </x:c>
      <x:c r="C148" s="2" t="str">
        <x:v>resolved</x:v>
      </x:c>
      <x:c r="D148" s="2" t="str">
        <x:v>已解决</x:v>
      </x:c>
      <x:c r="E148" s="10" t="str">
        <x:v>gold通过，最新attempt未记录API终止、runner启动失败或评测基础设施终止；不代表原始全套测试零失败。</x:v>
      </x:c>
      <x:c r="F148" s="10" t="str"/>
      <x:c r="G148" s="2" t="str">
        <x:v>通过</x:v>
      </x:c>
      <x:c r="H148" s="2" t="str">
        <x:v>completed</x:v>
      </x:c>
      <x:c r="I148" s="11" t="n">
        <x:v>1</x:v>
      </x:c>
      <x:c r="J148" s="11" t="n">
        <x:v>1</x:v>
      </x:c>
      <x:c r="K148" s="11" t="str">
        <x:v>resolved</x:v>
      </x:c>
      <x:c r="L148" s="11" t="n">
        <x:v>2</x:v>
      </x:c>
      <x:c r="M148" s="11" t="n">
        <x:v>0</x:v>
      </x:c>
      <x:c r="N148" s="11" t="n">
        <x:v>39</x:v>
      </x:c>
      <x:c r="O148" s="11" t="n">
        <x:v>0</x:v>
      </x:c>
      <x:c r="P148" s="11" t="n">
        <x:v>45424</x:v>
      </x:c>
      <x:c r="Q148" s="11" t="n">
        <x:v>45424</x:v>
      </x:c>
      <x:c r="R148" s="11" t="n">
        <x:v>9</x:v>
      </x:c>
      <x:c r="S148" s="11" t="n">
        <x:v>9</x:v>
      </x:c>
      <x:c r="T148" s="11" t="n">
        <x:v>9</x:v>
      </x:c>
      <x:c r="U148" s="12" t="n">
        <x:v>13.362</x:v>
      </x:c>
      <x:c r="V148" s="9" t="str">
        <x:v>django/db/models/fields/__init__.py</x:v>
      </x:c>
      <x:c r="W148" s="9" t="str"/>
      <x:c r="X148" s="9" t="str">
        <x:v>task_output-wsl/lite-baseline-001/instances/django__django-14238/attempt-0001/state.json
task_output-wsl/lite-baseline-001/instances/django__django-14238/attempt-0001/state.json</x:v>
      </x:c>
      <x:c r="Y148" s="2" t="str">
        <x:v>thinking
text</x:v>
      </x:c>
      <x:c r="Z148" s="11" t="n">
        <x:v>157</x:v>
      </x:c>
      <x:c r="AA148" s="11" t="n">
        <x:v>0</x:v>
      </x:c>
    </x:row>
    <x:row r="149" ht="37" customHeight="1">
      <x:c r="A149" s="2" t="str">
        <x:v>django__django-14382</x:v>
      </x:c>
      <x:c r="B149" s="2" t="str">
        <x:v>django/django</x:v>
      </x:c>
      <x:c r="C149" s="2" t="str">
        <x:v>resolved</x:v>
      </x:c>
      <x:c r="D149" s="2" t="str">
        <x:v>已解决</x:v>
      </x:c>
      <x:c r="E149" s="10" t="str">
        <x:v>gold通过，最新attempt未记录API终止、runner启动失败或评测基础设施终止；不代表原始全套测试零失败。</x:v>
      </x:c>
      <x:c r="F149" s="10" t="str"/>
      <x:c r="G149" s="2" t="str">
        <x:v>通过</x:v>
      </x:c>
      <x:c r="H149" s="2" t="str">
        <x:v>completed</x:v>
      </x:c>
      <x:c r="I149" s="11" t="n">
        <x:v>1</x:v>
      </x:c>
      <x:c r="J149" s="11" t="n">
        <x:v>1</x:v>
      </x:c>
      <x:c r="K149" s="11" t="str">
        <x:v>resolved</x:v>
      </x:c>
      <x:c r="L149" s="11" t="n">
        <x:v>1</x:v>
      </x:c>
      <x:c r="M149" s="11" t="n">
        <x:v>0</x:v>
      </x:c>
      <x:c r="N149" s="11" t="n">
        <x:v>188</x:v>
      </x:c>
      <x:c r="O149" s="11" t="n">
        <x:v>0</x:v>
      </x:c>
      <x:c r="P149" s="11" t="n">
        <x:v>128322</x:v>
      </x:c>
      <x:c r="Q149" s="11" t="n">
        <x:v>128322</x:v>
      </x:c>
      <x:c r="R149" s="11" t="n">
        <x:v>15</x:v>
      </x:c>
      <x:c r="S149" s="11" t="n">
        <x:v>15</x:v>
      </x:c>
      <x:c r="T149" s="11" t="n">
        <x:v>15</x:v>
      </x:c>
      <x:c r="U149" s="12" t="n">
        <x:v>39.593</x:v>
      </x:c>
      <x:c r="V149" s="9" t="str">
        <x:v>django/core/management/templates.py</x:v>
      </x:c>
      <x:c r="W149" s="9" t="str"/>
      <x:c r="X149" s="9" t="str">
        <x:v>task_output-wsl/lite-baseline-001/instances/django__django-14382/attempt-0001/state.json
task_output-wsl/lite-baseline-001/instances/django__django-14382/attempt-0001/state.json</x:v>
      </x:c>
      <x:c r="Y149" s="2" t="str">
        <x:v>thinking
text</x:v>
      </x:c>
      <x:c r="Z149" s="11" t="n">
        <x:v>143</x:v>
      </x:c>
      <x:c r="AA149" s="11" t="n">
        <x:v>0</x:v>
      </x:c>
    </x:row>
    <x:row r="150" ht="37" customHeight="1">
      <x:c r="A150" s="2" t="str">
        <x:v>django__django-14411</x:v>
      </x:c>
      <x:c r="B150" s="2" t="str">
        <x:v>django/django</x:v>
      </x:c>
      <x:c r="C150" s="2" t="str">
        <x:v>resolved</x:v>
      </x:c>
      <x:c r="D150" s="2" t="str">
        <x:v>已解决</x:v>
      </x:c>
      <x:c r="E150" s="10" t="str">
        <x:v>gold通过，最新attempt未记录API终止、runner启动失败或评测基础设施终止；不代表原始全套测试零失败。</x:v>
      </x:c>
      <x:c r="F150" s="10" t="str"/>
      <x:c r="G150" s="2" t="str">
        <x:v>通过</x:v>
      </x:c>
      <x:c r="H150" s="2" t="str">
        <x:v>completed</x:v>
      </x:c>
      <x:c r="I150" s="11" t="n">
        <x:v>1</x:v>
      </x:c>
      <x:c r="J150" s="11" t="n">
        <x:v>1</x:v>
      </x:c>
      <x:c r="K150" s="11" t="str">
        <x:v>resolved</x:v>
      </x:c>
      <x:c r="L150" s="11" t="n">
        <x:v>1</x:v>
      </x:c>
      <x:c r="M150" s="11" t="n">
        <x:v>0</x:v>
      </x:c>
      <x:c r="N150" s="11" t="n">
        <x:v>83</x:v>
      </x:c>
      <x:c r="O150" s="11" t="n">
        <x:v>0</x:v>
      </x:c>
      <x:c r="P150" s="11" t="n">
        <x:v>41954</x:v>
      </x:c>
      <x:c r="Q150" s="11" t="n">
        <x:v>41954</x:v>
      </x:c>
      <x:c r="R150" s="11" t="n">
        <x:v>7</x:v>
      </x:c>
      <x:c r="S150" s="11" t="n">
        <x:v>7</x:v>
      </x:c>
      <x:c r="T150" s="11" t="n">
        <x:v>7</x:v>
      </x:c>
      <x:c r="U150" s="12" t="n">
        <x:v>15.955</x:v>
      </x:c>
      <x:c r="V150" s="9" t="str">
        <x:v>django/contrib/auth/forms.py</x:v>
      </x:c>
      <x:c r="W150" s="9" t="str"/>
      <x:c r="X150" s="9" t="str">
        <x:v>task_output-wsl/lite-baseline-001/instances/django__django-14411/attempt-0001/state.json
task_output-wsl/lite-baseline-001/instances/django__django-14411/attempt-0001/state.json</x:v>
      </x:c>
      <x:c r="Y150" s="2" t="str">
        <x:v>thinking
text</x:v>
      </x:c>
      <x:c r="Z150" s="11" t="n">
        <x:v>127</x:v>
      </x:c>
      <x:c r="AA150" s="11" t="n">
        <x:v>0</x:v>
      </x:c>
    </x:row>
    <x:row r="151" ht="37" customHeight="1">
      <x:c r="A151" s="2" t="str">
        <x:v>django__django-14580</x:v>
      </x:c>
      <x:c r="B151" s="2" t="str">
        <x:v>django/django</x:v>
      </x:c>
      <x:c r="C151" s="2" t="str">
        <x:v>resolved</x:v>
      </x:c>
      <x:c r="D151" s="2" t="str">
        <x:v>已解决</x:v>
      </x:c>
      <x:c r="E151" s="10" t="str">
        <x:v>gold通过，最新attempt未记录API终止、runner启动失败或评测基础设施终止；不代表原始全套测试零失败。</x:v>
      </x:c>
      <x:c r="F151" s="10" t="str"/>
      <x:c r="G151" s="2" t="str">
        <x:v>通过</x:v>
      </x:c>
      <x:c r="H151" s="2" t="str">
        <x:v>completed</x:v>
      </x:c>
      <x:c r="I151" s="11" t="n">
        <x:v>1</x:v>
      </x:c>
      <x:c r="J151" s="11" t="n">
        <x:v>1</x:v>
      </x:c>
      <x:c r="K151" s="11" t="str">
        <x:v>resolved</x:v>
      </x:c>
      <x:c r="L151" s="11" t="n">
        <x:v>1</x:v>
      </x:c>
      <x:c r="M151" s="11" t="n">
        <x:v>0</x:v>
      </x:c>
      <x:c r="N151" s="11" t="n">
        <x:v>49</x:v>
      </x:c>
      <x:c r="O151" s="11" t="n">
        <x:v>0</x:v>
      </x:c>
      <x:c r="P151" s="11" t="n">
        <x:v>146587</x:v>
      </x:c>
      <x:c r="Q151" s="11" t="n">
        <x:v>146587</x:v>
      </x:c>
      <x:c r="R151" s="11" t="n">
        <x:v>15</x:v>
      </x:c>
      <x:c r="S151" s="11" t="n">
        <x:v>15</x:v>
      </x:c>
      <x:c r="T151" s="11" t="n">
        <x:v>15</x:v>
      </x:c>
      <x:c r="U151" s="12" t="n">
        <x:v>31.966</x:v>
      </x:c>
      <x:c r="V151" s="9" t="str">
        <x:v>django/db/migrations/serializer.py</x:v>
      </x:c>
      <x:c r="W151" s="9" t="str"/>
      <x:c r="X151" s="9" t="str">
        <x:v>task_output-wsl/lite-baseline-001/instances/django__django-14580/attempt-0001/state.json
task_output-wsl/lite-baseline-001/instances/django__django-14580/attempt-0001/state.json</x:v>
      </x:c>
      <x:c r="Y151" s="2" t="str">
        <x:v>thinking
text</x:v>
      </x:c>
      <x:c r="Z151" s="11" t="n">
        <x:v>483</x:v>
      </x:c>
      <x:c r="AA151" s="11" t="n">
        <x:v>0</x:v>
      </x:c>
    </x:row>
    <x:row r="152" ht="51" customHeight="1">
      <x:c r="A152" s="2" t="str">
        <x:v>django__django-14608</x:v>
      </x:c>
      <x:c r="B152" s="2" t="str">
        <x:v>django/django</x:v>
      </x:c>
      <x:c r="C152" s="2" t="str">
        <x:v>resolved</x:v>
      </x:c>
      <x:c r="D152" s="2" t="str">
        <x:v>已解决</x:v>
      </x:c>
      <x:c r="E152" s="10" t="str">
        <x:v>gold通过，最新attempt未记录API终止、runner启动失败或评测基础设施终止；不代表原始全套测试零失败。</x:v>
      </x:c>
      <x:c r="F152" s="10" t="str"/>
      <x:c r="G152" s="2" t="str">
        <x:v>通过</x:v>
      </x:c>
      <x:c r="H152" s="2" t="str">
        <x:v>completed</x:v>
      </x:c>
      <x:c r="I152" s="11" t="n">
        <x:v>1</x:v>
      </x:c>
      <x:c r="J152" s="11" t="n">
        <x:v>1</x:v>
      </x:c>
      <x:c r="K152" s="11" t="str">
        <x:v>resolved</x:v>
      </x:c>
      <x:c r="L152" s="11" t="n">
        <x:v>4</x:v>
      </x:c>
      <x:c r="M152" s="11" t="n">
        <x:v>0</x:v>
      </x:c>
      <x:c r="N152" s="11" t="n">
        <x:v>394</x:v>
      </x:c>
      <x:c r="O152" s="11" t="n">
        <x:v>0</x:v>
      </x:c>
      <x:c r="P152" s="11" t="n">
        <x:v>245780</x:v>
      </x:c>
      <x:c r="Q152" s="11" t="n">
        <x:v>245780</x:v>
      </x:c>
      <x:c r="R152" s="11" t="n">
        <x:v>24</x:v>
      </x:c>
      <x:c r="S152" s="11" t="n">
        <x:v>24</x:v>
      </x:c>
      <x:c r="T152" s="11" t="n">
        <x:v>24</x:v>
      </x:c>
      <x:c r="U152" s="12" t="n">
        <x:v>41.554</x:v>
      </x:c>
      <x:c r="V152" s="9" t="str">
        <x:v>django/forms/formsets.py
docs/releases/4.0.txt
docs/topics/forms/formsets.txt</x:v>
      </x:c>
      <x:c r="W152" s="9" t="str"/>
      <x:c r="X152" s="9" t="str">
        <x:v>task_output-wsl/lite-baseline-001/instances/django__django-14608/attempt-0001/state.json
task_output-wsl/lite-baseline-001/instances/django__django-14608/attempt-0001/state.json</x:v>
      </x:c>
      <x:c r="Y152" s="2" t="str">
        <x:v>thinking
text</x:v>
      </x:c>
      <x:c r="Z152" s="11" t="n">
        <x:v>273</x:v>
      </x:c>
      <x:c r="AA152" s="11" t="n">
        <x:v>0</x:v>
      </x:c>
    </x:row>
    <x:row r="153" ht="37" customHeight="1">
      <x:c r="A153" s="2" t="str">
        <x:v>django__django-14672</x:v>
      </x:c>
      <x:c r="B153" s="2" t="str">
        <x:v>django/django</x:v>
      </x:c>
      <x:c r="C153" s="2" t="str">
        <x:v>resolved</x:v>
      </x:c>
      <x:c r="D153" s="2" t="str">
        <x:v>已解决</x:v>
      </x:c>
      <x:c r="E153" s="10" t="str">
        <x:v>gold通过，最新attempt未记录API终止、runner启动失败或评测基础设施终止；不代表原始全套测试零失败。</x:v>
      </x:c>
      <x:c r="F153" s="10" t="str"/>
      <x:c r="G153" s="2" t="str">
        <x:v>通过</x:v>
      </x:c>
      <x:c r="H153" s="2" t="str">
        <x:v>completed</x:v>
      </x:c>
      <x:c r="I153" s="11" t="n">
        <x:v>1</x:v>
      </x:c>
      <x:c r="J153" s="11" t="n">
        <x:v>1</x:v>
      </x:c>
      <x:c r="K153" s="11" t="str">
        <x:v>resolved</x:v>
      </x:c>
      <x:c r="L153" s="11" t="n">
        <x:v>168</x:v>
      </x:c>
      <x:c r="M153" s="11" t="n">
        <x:v>0</x:v>
      </x:c>
      <x:c r="N153" s="11" t="n">
        <x:v>0</x:v>
      </x:c>
      <x:c r="O153" s="11" t="n">
        <x:v>0</x:v>
      </x:c>
      <x:c r="P153" s="11" t="n">
        <x:v>66037</x:v>
      </x:c>
      <x:c r="Q153" s="11" t="n">
        <x:v>66037</x:v>
      </x:c>
      <x:c r="R153" s="11" t="n">
        <x:v>10</x:v>
      </x:c>
      <x:c r="S153" s="11" t="n">
        <x:v>10</x:v>
      </x:c>
      <x:c r="T153" s="11" t="n">
        <x:v>10</x:v>
      </x:c>
      <x:c r="U153" s="12" t="n">
        <x:v>17.278</x:v>
      </x:c>
      <x:c r="V153" s="9" t="str">
        <x:v>django/db/models/fields/reverse_related.py</x:v>
      </x:c>
      <x:c r="W153" s="9" t="str"/>
      <x:c r="X153" s="9" t="str">
        <x:v>task_output-wsl/lite-baseline-001/instances/django__django-14672/attempt-0001/state.json
task_output-wsl/lite-baseline-001/instances/django__django-14672/attempt-0001/state.json</x:v>
      </x:c>
      <x:c r="Y153" s="2" t="str">
        <x:v>thinking
text</x:v>
      </x:c>
      <x:c r="Z153" s="11" t="n">
        <x:v>136</x:v>
      </x:c>
      <x:c r="AA153" s="11" t="n">
        <x:v>0</x:v>
      </x:c>
    </x:row>
    <x:row r="154" ht="37" customHeight="1">
      <x:c r="A154" s="2" t="str">
        <x:v>django__django-14730</x:v>
      </x:c>
      <x:c r="B154" s="2" t="str">
        <x:v>django/django</x:v>
      </x:c>
      <x:c r="C154" s="2" t="str">
        <x:v>resolved</x:v>
      </x:c>
      <x:c r="D154" s="2" t="str">
        <x:v>已解决</x:v>
      </x:c>
      <x:c r="E154" s="10" t="str">
        <x:v>gold通过，最新attempt未记录API终止、runner启动失败或评测基础设施终止；不代表原始全套测试零失败。</x:v>
      </x:c>
      <x:c r="F154" s="10" t="str"/>
      <x:c r="G154" s="2" t="str">
        <x:v>通过</x:v>
      </x:c>
      <x:c r="H154" s="2" t="str">
        <x:v>completed</x:v>
      </x:c>
      <x:c r="I154" s="11" t="n">
        <x:v>2</x:v>
      </x:c>
      <x:c r="J154" s="11" t="n">
        <x:v>1</x:v>
      </x:c>
      <x:c r="K154" s="11" t="str">
        <x:v>error</x:v>
      </x:c>
      <x:c r="L154" s="11" t="n">
        <x:v>1</x:v>
      </x:c>
      <x:c r="M154" s="11" t="n">
        <x:v>0</x:v>
      </x:c>
      <x:c r="N154" s="11" t="n">
        <x:v>119</x:v>
      </x:c>
      <x:c r="O154" s="11" t="n">
        <x:v>0</x:v>
      </x:c>
      <x:c r="P154" s="11" t="n">
        <x:v>433561</x:v>
      </x:c>
      <x:c r="Q154" s="11" t="n">
        <x:v>433561</x:v>
      </x:c>
      <x:c r="R154" s="11" t="n">
        <x:v>38</x:v>
      </x:c>
      <x:c r="S154" s="11" t="n">
        <x:v>38</x:v>
      </x:c>
      <x:c r="T154" s="11" t="n">
        <x:v>38</x:v>
      </x:c>
      <x:c r="U154" s="12" t="n">
        <x:v>119.908</x:v>
      </x:c>
      <x:c r="V154" s="9" t="str">
        <x:v>django/db/models/fields/related.py
docs/ref/checks.txt</x:v>
      </x:c>
      <x:c r="W154" s="9" t="str"/>
      <x:c r="X154" s="9" t="str">
        <x:v>task_output-wsl/lite-baseline-001/instances/django__django-14730/attempt-0002/state.json
task_output-wsl/lite-baseline-001/instances/django__django-14730/attempt-0002/state.json</x:v>
      </x:c>
      <x:c r="Y154" s="2" t="str">
        <x:v>thinking
text</x:v>
      </x:c>
      <x:c r="Z154" s="11" t="n">
        <x:v>170</x:v>
      </x:c>
      <x:c r="AA154" s="11" t="n">
        <x:v>0</x:v>
      </x:c>
    </x:row>
    <x:row r="155" ht="37" customHeight="1">
      <x:c r="A155" s="2" t="str">
        <x:v>django__django-14752</x:v>
      </x:c>
      <x:c r="B155" s="2" t="str">
        <x:v>django/django</x:v>
      </x:c>
      <x:c r="C155" s="2" t="str">
        <x:v>resolved</x:v>
      </x:c>
      <x:c r="D155" s="2" t="str">
        <x:v>已解决</x:v>
      </x:c>
      <x:c r="E155" s="10" t="str">
        <x:v>gold通过，最新attempt未记录API终止、runner启动失败或评测基础设施终止；不代表原始全套测试零失败。</x:v>
      </x:c>
      <x:c r="F155" s="10" t="str"/>
      <x:c r="G155" s="2" t="str">
        <x:v>通过</x:v>
      </x:c>
      <x:c r="H155" s="2" t="str">
        <x:v>completed</x:v>
      </x:c>
      <x:c r="I155" s="11" t="n">
        <x:v>1</x:v>
      </x:c>
      <x:c r="J155" s="11" t="n">
        <x:v>1</x:v>
      </x:c>
      <x:c r="K155" s="11" t="str">
        <x:v>resolved</x:v>
      </x:c>
      <x:c r="L155" s="11" t="n">
        <x:v>1</x:v>
      </x:c>
      <x:c r="M155" s="11" t="n">
        <x:v>0</x:v>
      </x:c>
      <x:c r="N155" s="11" t="n">
        <x:v>15</x:v>
      </x:c>
      <x:c r="O155" s="11" t="n">
        <x:v>0</x:v>
      </x:c>
      <x:c r="P155" s="11" t="n">
        <x:v>33897</x:v>
      </x:c>
      <x:c r="Q155" s="11" t="n">
        <x:v>33897</x:v>
      </x:c>
      <x:c r="R155" s="11" t="n">
        <x:v>7</x:v>
      </x:c>
      <x:c r="S155" s="11" t="n">
        <x:v>7</x:v>
      </x:c>
      <x:c r="T155" s="11" t="n">
        <x:v>7</x:v>
      </x:c>
      <x:c r="U155" s="12" t="n">
        <x:v>10.754</x:v>
      </x:c>
      <x:c r="V155" s="9" t="str">
        <x:v>django/contrib/admin/views/autocomplete.py</x:v>
      </x:c>
      <x:c r="W155" s="9" t="str"/>
      <x:c r="X155" s="9" t="str">
        <x:v>task_output-wsl/lite-baseline-001/instances/django__django-14752/attempt-0001/state.json
task_output-wsl/lite-baseline-001/instances/django__django-14752/attempt-0001/state.json</x:v>
      </x:c>
      <x:c r="Y155" s="2" t="str">
        <x:v>thinking
text</x:v>
      </x:c>
      <x:c r="Z155" s="11" t="n">
        <x:v>168</x:v>
      </x:c>
      <x:c r="AA155" s="11" t="n">
        <x:v>0</x:v>
      </x:c>
    </x:row>
    <x:row r="156" ht="37" customHeight="1">
      <x:c r="A156" s="2" t="str">
        <x:v>django__django-14787</x:v>
      </x:c>
      <x:c r="B156" s="2" t="str">
        <x:v>django/django</x:v>
      </x:c>
      <x:c r="C156" s="2" t="str">
        <x:v>resolved</x:v>
      </x:c>
      <x:c r="D156" s="2" t="str">
        <x:v>已解决</x:v>
      </x:c>
      <x:c r="E156" s="10" t="str">
        <x:v>gold通过，最新attempt未记录API终止、runner启动失败或评测基础设施终止；不代表原始全套测试零失败。</x:v>
      </x:c>
      <x:c r="F156" s="10" t="str"/>
      <x:c r="G156" s="2" t="str">
        <x:v>通过</x:v>
      </x:c>
      <x:c r="H156" s="2" t="str">
        <x:v>completed</x:v>
      </x:c>
      <x:c r="I156" s="11" t="n">
        <x:v>1</x:v>
      </x:c>
      <x:c r="J156" s="11" t="n">
        <x:v>1</x:v>
      </x:c>
      <x:c r="K156" s="11" t="str">
        <x:v>resolved</x:v>
      </x:c>
      <x:c r="L156" s="11" t="n">
        <x:v>1</x:v>
      </x:c>
      <x:c r="M156" s="11" t="n">
        <x:v>0</x:v>
      </x:c>
      <x:c r="N156" s="11" t="n">
        <x:v>20</x:v>
      </x:c>
      <x:c r="O156" s="11" t="n">
        <x:v>0</x:v>
      </x:c>
      <x:c r="P156" s="11" t="n">
        <x:v>416253</x:v>
      </x:c>
      <x:c r="Q156" s="11" t="n">
        <x:v>416253</x:v>
      </x:c>
      <x:c r="R156" s="11" t="n">
        <x:v>38</x:v>
      </x:c>
      <x:c r="S156" s="11" t="n">
        <x:v>38</x:v>
      </x:c>
      <x:c r="T156" s="11" t="n">
        <x:v>36</x:v>
      </x:c>
      <x:c r="U156" s="12" t="n">
        <x:v>152.342</x:v>
      </x:c>
      <x:c r="V156" s="9" t="str">
        <x:v>django/utils/decorators.py</x:v>
      </x:c>
      <x:c r="W156" s="9" t="str"/>
      <x:c r="X156" s="9" t="str">
        <x:v>task_output-wsl/lite-baseline-001/instances/django__django-14787/attempt-0001/state.json
task_output-wsl/lite-baseline-001/instances/django__django-14787/attempt-0001/state.json</x:v>
      </x:c>
      <x:c r="Y156" s="2" t="str">
        <x:v>thinking
text</x:v>
      </x:c>
      <x:c r="Z156" s="11" t="n">
        <x:v>270</x:v>
      </x:c>
      <x:c r="AA156" s="11" t="n">
        <x:v>0</x:v>
      </x:c>
    </x:row>
    <x:row r="157" ht="37" customHeight="1">
      <x:c r="A157" s="2" t="str">
        <x:v>django__django-14855</x:v>
      </x:c>
      <x:c r="B157" s="2" t="str">
        <x:v>django/django</x:v>
      </x:c>
      <x:c r="C157" s="2" t="str">
        <x:v>resolved</x:v>
      </x:c>
      <x:c r="D157" s="2" t="str">
        <x:v>已解决</x:v>
      </x:c>
      <x:c r="E157" s="10" t="str">
        <x:v>gold通过，最新attempt未记录API终止、runner启动失败或评测基础设施终止；不代表原始全套测试零失败。</x:v>
      </x:c>
      <x:c r="F157" s="10" t="str"/>
      <x:c r="G157" s="2" t="str">
        <x:v>通过</x:v>
      </x:c>
      <x:c r="H157" s="2" t="str">
        <x:v>completed</x:v>
      </x:c>
      <x:c r="I157" s="11" t="n">
        <x:v>1</x:v>
      </x:c>
      <x:c r="J157" s="11" t="n">
        <x:v>1</x:v>
      </x:c>
      <x:c r="K157" s="11" t="str">
        <x:v>resolved</x:v>
      </x:c>
      <x:c r="L157" s="11" t="n">
        <x:v>1</x:v>
      </x:c>
      <x:c r="M157" s="11" t="n">
        <x:v>0</x:v>
      </x:c>
      <x:c r="N157" s="11" t="n">
        <x:v>325</x:v>
      </x:c>
      <x:c r="O157" s="11" t="n">
        <x:v>0</x:v>
      </x:c>
      <x:c r="P157" s="11" t="n">
        <x:v>484568</x:v>
      </x:c>
      <x:c r="Q157" s="11" t="n">
        <x:v>484568</x:v>
      </x:c>
      <x:c r="R157" s="11" t="n">
        <x:v>43</x:v>
      </x:c>
      <x:c r="S157" s="11" t="n">
        <x:v>43</x:v>
      </x:c>
      <x:c r="T157" s="11" t="n">
        <x:v>43</x:v>
      </x:c>
      <x:c r="U157" s="12" t="n">
        <x:v>130.038</x:v>
      </x:c>
      <x:c r="V157" s="9" t="str">
        <x:v>django/contrib/admin/helpers.py</x:v>
      </x:c>
      <x:c r="W157" s="9" t="str"/>
      <x:c r="X157" s="9" t="str">
        <x:v>task_output-wsl/lite-baseline-001/instances/django__django-14855/attempt-0001/state.json
task_output-wsl/lite-baseline-001/instances/django__django-14855/attempt-0001/state.json</x:v>
      </x:c>
      <x:c r="Y157" s="2" t="str">
        <x:v>thinking
text</x:v>
      </x:c>
      <x:c r="Z157" s="11" t="n">
        <x:v>401</x:v>
      </x:c>
      <x:c r="AA157" s="11" t="n">
        <x:v>0</x:v>
      </x:c>
    </x:row>
    <x:row r="158" ht="37" customHeight="1">
      <x:c r="A158" s="2" t="str">
        <x:v>django__django-14915</x:v>
      </x:c>
      <x:c r="B158" s="2" t="str">
        <x:v>django/django</x:v>
      </x:c>
      <x:c r="C158" s="2" t="str">
        <x:v>resolved</x:v>
      </x:c>
      <x:c r="D158" s="2" t="str">
        <x:v>已解决</x:v>
      </x:c>
      <x:c r="E158" s="10" t="str">
        <x:v>gold通过，最新attempt未记录API终止、runner启动失败或评测基础设施终止；不代表原始全套测试零失败。</x:v>
      </x:c>
      <x:c r="F158" s="10" t="str"/>
      <x:c r="G158" s="2" t="str">
        <x:v>通过</x:v>
      </x:c>
      <x:c r="H158" s="2" t="str">
        <x:v>completed</x:v>
      </x:c>
      <x:c r="I158" s="11" t="n">
        <x:v>1</x:v>
      </x:c>
      <x:c r="J158" s="11" t="n">
        <x:v>1</x:v>
      </x:c>
      <x:c r="K158" s="11" t="str">
        <x:v>resolved</x:v>
      </x:c>
      <x:c r="L158" s="11" t="n">
        <x:v>1</x:v>
      </x:c>
      <x:c r="M158" s="11" t="n">
        <x:v>0</x:v>
      </x:c>
      <x:c r="N158" s="11" t="n">
        <x:v>23</x:v>
      </x:c>
      <x:c r="O158" s="11" t="n">
        <x:v>0</x:v>
      </x:c>
      <x:c r="P158" s="11" t="n">
        <x:v>73182</x:v>
      </x:c>
      <x:c r="Q158" s="11" t="n">
        <x:v>73182</x:v>
      </x:c>
      <x:c r="R158" s="11" t="n">
        <x:v>14</x:v>
      </x:c>
      <x:c r="S158" s="11" t="n">
        <x:v>14</x:v>
      </x:c>
      <x:c r="T158" s="11" t="n">
        <x:v>14</x:v>
      </x:c>
      <x:c r="U158" s="12" t="n">
        <x:v>22.217</x:v>
      </x:c>
      <x:c r="V158" s="9" t="str">
        <x:v>django/forms/models.py</x:v>
      </x:c>
      <x:c r="W158" s="9" t="str"/>
      <x:c r="X158" s="9" t="str">
        <x:v>task_output-wsl/lite-baseline-001/instances/django__django-14915/attempt-0001/state.json
task_output-wsl/lite-baseline-001/instances/django__django-14915/attempt-0001/state.json</x:v>
      </x:c>
      <x:c r="Y158" s="2" t="str">
        <x:v>thinking
text</x:v>
      </x:c>
      <x:c r="Z158" s="11" t="n">
        <x:v>107</x:v>
      </x:c>
      <x:c r="AA158" s="11" t="n">
        <x:v>0</x:v>
      </x:c>
    </x:row>
    <x:row r="159" ht="37" customHeight="1">
      <x:c r="A159" s="2" t="str">
        <x:v>django__django-14999</x:v>
      </x:c>
      <x:c r="B159" s="2" t="str">
        <x:v>django/django</x:v>
      </x:c>
      <x:c r="C159" s="2" t="str">
        <x:v>resolved</x:v>
      </x:c>
      <x:c r="D159" s="2" t="str">
        <x:v>已解决</x:v>
      </x:c>
      <x:c r="E159" s="10" t="str">
        <x:v>gold通过，最新attempt未记录API终止、runner启动失败或评测基础设施终止；不代表原始全套测试零失败。</x:v>
      </x:c>
      <x:c r="F159" s="10" t="str"/>
      <x:c r="G159" s="2" t="str">
        <x:v>通过</x:v>
      </x:c>
      <x:c r="H159" s="2" t="str">
        <x:v>completed</x:v>
      </x:c>
      <x:c r="I159" s="11" t="n">
        <x:v>1</x:v>
      </x:c>
      <x:c r="J159" s="11" t="n">
        <x:v>1</x:v>
      </x:c>
      <x:c r="K159" s="11" t="str">
        <x:v>resolved</x:v>
      </x:c>
      <x:c r="L159" s="11" t="n">
        <x:v>1</x:v>
      </x:c>
      <x:c r="M159" s="11" t="n">
        <x:v>0</x:v>
      </x:c>
      <x:c r="N159" s="11" t="n">
        <x:v>113</x:v>
      </x:c>
      <x:c r="O159" s="11" t="n">
        <x:v>0</x:v>
      </x:c>
      <x:c r="P159" s="11" t="n">
        <x:v>438961</x:v>
      </x:c>
      <x:c r="Q159" s="11" t="n">
        <x:v>438961</x:v>
      </x:c>
      <x:c r="R159" s="11" t="n">
        <x:v>43</x:v>
      </x:c>
      <x:c r="S159" s="11" t="n">
        <x:v>43</x:v>
      </x:c>
      <x:c r="T159" s="11" t="n">
        <x:v>42</x:v>
      </x:c>
      <x:c r="U159" s="12" t="n">
        <x:v>146.047</x:v>
      </x:c>
      <x:c r="V159" s="9" t="str">
        <x:v>django/db/migrations/operations/models.py</x:v>
      </x:c>
      <x:c r="W159" s="9" t="str"/>
      <x:c r="X159" s="9" t="str">
        <x:v>task_output-wsl/lite-baseline-001/instances/django__django-14999/attempt-0001/state.json
task_output-wsl/lite-baseline-001/instances/django__django-14999/attempt-0001/state.json</x:v>
      </x:c>
      <x:c r="Y159" s="2" t="str">
        <x:v>thinking
text</x:v>
      </x:c>
      <x:c r="Z159" s="11" t="n">
        <x:v>542</x:v>
      </x:c>
      <x:c r="AA159" s="11" t="n">
        <x:v>0</x:v>
      </x:c>
    </x:row>
    <x:row r="160" ht="37" customHeight="1">
      <x:c r="A160" s="2" t="str">
        <x:v>django__django-15061</x:v>
      </x:c>
      <x:c r="B160" s="2" t="str">
        <x:v>django/django</x:v>
      </x:c>
      <x:c r="C160" s="2" t="str">
        <x:v>resolved</x:v>
      </x:c>
      <x:c r="D160" s="2" t="str">
        <x:v>已解决</x:v>
      </x:c>
      <x:c r="E160" s="10" t="str">
        <x:v>gold通过，最新attempt未记录API终止、runner启动失败或评测基础设施终止；不代表原始全套测试零失败。</x:v>
      </x:c>
      <x:c r="F160" s="10" t="str"/>
      <x:c r="G160" s="2" t="str">
        <x:v>通过</x:v>
      </x:c>
      <x:c r="H160" s="2" t="str">
        <x:v>completed</x:v>
      </x:c>
      <x:c r="I160" s="11" t="n">
        <x:v>1</x:v>
      </x:c>
      <x:c r="J160" s="11" t="n">
        <x:v>1</x:v>
      </x:c>
      <x:c r="K160" s="11" t="str">
        <x:v>resolved</x:v>
      </x:c>
      <x:c r="L160" s="11" t="n">
        <x:v>3</x:v>
      </x:c>
      <x:c r="M160" s="11" t="n">
        <x:v>0</x:v>
      </x:c>
      <x:c r="N160" s="11" t="n">
        <x:v>14</x:v>
      </x:c>
      <x:c r="O160" s="11" t="n">
        <x:v>0</x:v>
      </x:c>
      <x:c r="P160" s="11" t="n">
        <x:v>615838</x:v>
      </x:c>
      <x:c r="Q160" s="11" t="n">
        <x:v>615838</x:v>
      </x:c>
      <x:c r="R160" s="11" t="n">
        <x:v>52</x:v>
      </x:c>
      <x:c r="S160" s="11" t="n">
        <x:v>52</x:v>
      </x:c>
      <x:c r="T160" s="11" t="n">
        <x:v>52</x:v>
      </x:c>
      <x:c r="U160" s="12" t="n">
        <x:v>124.043</x:v>
      </x:c>
      <x:c r="V160" s="9" t="str">
        <x:v>django/forms/widgets.py</x:v>
      </x:c>
      <x:c r="W160" s="9" t="str"/>
      <x:c r="X160" s="9" t="str">
        <x:v>task_output-wsl/lite-baseline-001/instances/django__django-15061/attempt-0001/state.json
task_output-wsl/lite-baseline-001/instances/django__django-15061/attempt-0001/state.json</x:v>
      </x:c>
      <x:c r="Y160" s="2" t="str">
        <x:v>thinking
text</x:v>
      </x:c>
      <x:c r="Z160" s="11" t="n">
        <x:v>618</x:v>
      </x:c>
      <x:c r="AA160" s="11" t="n">
        <x:v>0</x:v>
      </x:c>
    </x:row>
    <x:row r="161" ht="37" customHeight="1">
      <x:c r="A161" s="2" t="str">
        <x:v>django__django-15202</x:v>
      </x:c>
      <x:c r="B161" s="2" t="str">
        <x:v>django/django</x:v>
      </x:c>
      <x:c r="C161" s="2" t="str">
        <x:v>resolved</x:v>
      </x:c>
      <x:c r="D161" s="2" t="str">
        <x:v>已解决</x:v>
      </x:c>
      <x:c r="E161" s="10" t="str">
        <x:v>gold通过，最新attempt未记录API终止、runner启动失败或评测基础设施终止；不代表原始全套测试零失败。</x:v>
      </x:c>
      <x:c r="F161" s="10" t="str"/>
      <x:c r="G161" s="2" t="str">
        <x:v>通过</x:v>
      </x:c>
      <x:c r="H161" s="2" t="str">
        <x:v>completed</x:v>
      </x:c>
      <x:c r="I161" s="11" t="n">
        <x:v>1</x:v>
      </x:c>
      <x:c r="J161" s="11" t="n">
        <x:v>1</x:v>
      </x:c>
      <x:c r="K161" s="11" t="str">
        <x:v>resolved</x:v>
      </x:c>
      <x:c r="L161" s="11" t="n">
        <x:v>2</x:v>
      </x:c>
      <x:c r="M161" s="11" t="n">
        <x:v>0</x:v>
      </x:c>
      <x:c r="N161" s="11" t="n">
        <x:v>6</x:v>
      </x:c>
      <x:c r="O161" s="11" t="n">
        <x:v>0</x:v>
      </x:c>
      <x:c r="P161" s="11" t="n">
        <x:v>116593</x:v>
      </x:c>
      <x:c r="Q161" s="11" t="n">
        <x:v>116593</x:v>
      </x:c>
      <x:c r="R161" s="11" t="n">
        <x:v>13</x:v>
      </x:c>
      <x:c r="S161" s="11" t="n">
        <x:v>13</x:v>
      </x:c>
      <x:c r="T161" s="11" t="n">
        <x:v>13</x:v>
      </x:c>
      <x:c r="U161" s="12" t="n">
        <x:v>32.93</x:v>
      </x:c>
      <x:c r="V161" s="9" t="str">
        <x:v>django/core/validators.py</x:v>
      </x:c>
      <x:c r="W161" s="9" t="str"/>
      <x:c r="X161" s="9" t="str">
        <x:v>task_output-wsl/lite-baseline-001/instances/django__django-15202/attempt-0001/state.json
task_output-wsl/lite-baseline-001/instances/django__django-15202/attempt-0001/state.json</x:v>
      </x:c>
      <x:c r="Y161" s="2" t="str">
        <x:v>thinking
text</x:v>
      </x:c>
      <x:c r="Z161" s="11" t="n">
        <x:v>237</x:v>
      </x:c>
      <x:c r="AA161" s="11" t="n">
        <x:v>0</x:v>
      </x:c>
    </x:row>
    <x:row r="162" ht="37" customHeight="1">
      <x:c r="A162" s="2" t="str">
        <x:v>django__django-15320</x:v>
      </x:c>
      <x:c r="B162" s="2" t="str">
        <x:v>django/django</x:v>
      </x:c>
      <x:c r="C162" s="2" t="str">
        <x:v>resolved</x:v>
      </x:c>
      <x:c r="D162" s="2" t="str">
        <x:v>已解决</x:v>
      </x:c>
      <x:c r="E162" s="10" t="str">
        <x:v>gold通过，最新attempt未记录API终止、runner启动失败或评测基础设施终止；不代表原始全套测试零失败。</x:v>
      </x:c>
      <x:c r="F162" s="10" t="str"/>
      <x:c r="G162" s="2" t="str">
        <x:v>通过</x:v>
      </x:c>
      <x:c r="H162" s="2" t="str">
        <x:v>completed</x:v>
      </x:c>
      <x:c r="I162" s="11" t="n">
        <x:v>1</x:v>
      </x:c>
      <x:c r="J162" s="11" t="n">
        <x:v>1</x:v>
      </x:c>
      <x:c r="K162" s="11" t="str">
        <x:v>resolved</x:v>
      </x:c>
      <x:c r="L162" s="11" t="n">
        <x:v>1</x:v>
      </x:c>
      <x:c r="M162" s="11" t="n">
        <x:v>0</x:v>
      </x:c>
      <x:c r="N162" s="11" t="n">
        <x:v>160</x:v>
      </x:c>
      <x:c r="O162" s="11" t="n">
        <x:v>0</x:v>
      </x:c>
      <x:c r="P162" s="11" t="n">
        <x:v>198512</x:v>
      </x:c>
      <x:c r="Q162" s="11" t="n">
        <x:v>198512</x:v>
      </x:c>
      <x:c r="R162" s="11" t="n">
        <x:v>20</x:v>
      </x:c>
      <x:c r="S162" s="11" t="n">
        <x:v>20</x:v>
      </x:c>
      <x:c r="T162" s="11" t="n">
        <x:v>20</x:v>
      </x:c>
      <x:c r="U162" s="12" t="n">
        <x:v>98.543</x:v>
      </x:c>
      <x:c r="V162" s="9" t="str">
        <x:v>django/db/models/expressions.py</x:v>
      </x:c>
      <x:c r="W162" s="9" t="str"/>
      <x:c r="X162" s="9" t="str">
        <x:v>task_output-wsl/lite-baseline-001/instances/django__django-15320/attempt-0001/state.json
task_output-wsl/lite-baseline-001/instances/django__django-15320/attempt-0001/state.json</x:v>
      </x:c>
      <x:c r="Y162" s="2" t="str">
        <x:v>thinking
text</x:v>
      </x:c>
      <x:c r="Z162" s="11" t="n">
        <x:v>505</x:v>
      </x:c>
      <x:c r="AA162" s="11" t="n">
        <x:v>0</x:v>
      </x:c>
    </x:row>
    <x:row r="163" ht="37" customHeight="1">
      <x:c r="A163" s="2" t="str">
        <x:v>django__django-15347</x:v>
      </x:c>
      <x:c r="B163" s="2" t="str">
        <x:v>django/django</x:v>
      </x:c>
      <x:c r="C163" s="2" t="str">
        <x:v>resolved</x:v>
      </x:c>
      <x:c r="D163" s="2" t="str">
        <x:v>已解决</x:v>
      </x:c>
      <x:c r="E163" s="10" t="str">
        <x:v>gold通过，最新attempt未记录API终止、runner启动失败或评测基础设施终止；不代表原始全套测试零失败。</x:v>
      </x:c>
      <x:c r="F163" s="10" t="str"/>
      <x:c r="G163" s="2" t="str">
        <x:v>通过</x:v>
      </x:c>
      <x:c r="H163" s="2" t="str">
        <x:v>completed</x:v>
      </x:c>
      <x:c r="I163" s="11" t="n">
        <x:v>1</x:v>
      </x:c>
      <x:c r="J163" s="11" t="n">
        <x:v>1</x:v>
      </x:c>
      <x:c r="K163" s="11" t="str">
        <x:v>resolved</x:v>
      </x:c>
      <x:c r="L163" s="11" t="n">
        <x:v>1</x:v>
      </x:c>
      <x:c r="M163" s="11" t="n">
        <x:v>0</x:v>
      </x:c>
      <x:c r="N163" s="11" t="n">
        <x:v>29</x:v>
      </x:c>
      <x:c r="O163" s="11" t="n">
        <x:v>0</x:v>
      </x:c>
      <x:c r="P163" s="11" t="n">
        <x:v>32883</x:v>
      </x:c>
      <x:c r="Q163" s="11" t="n">
        <x:v>32883</x:v>
      </x:c>
      <x:c r="R163" s="11" t="n">
        <x:v>6</x:v>
      </x:c>
      <x:c r="S163" s="11" t="n">
        <x:v>6</x:v>
      </x:c>
      <x:c r="T163" s="11" t="n">
        <x:v>6</x:v>
      </x:c>
      <x:c r="U163" s="12" t="n">
        <x:v>10.088</x:v>
      </x:c>
      <x:c r="V163" s="9" t="str">
        <x:v>django/contrib/messages/storage/cookie.py</x:v>
      </x:c>
      <x:c r="W163" s="9" t="str"/>
      <x:c r="X163" s="9" t="str">
        <x:v>task_output-wsl/lite-baseline-001/instances/django__django-15347/attempt-0001/state.json
task_output-wsl/lite-baseline-001/instances/django__django-15347/attempt-0001/state.json</x:v>
      </x:c>
      <x:c r="Y163" s="2" t="str">
        <x:v>thinking
text</x:v>
      </x:c>
      <x:c r="Z163" s="11" t="n">
        <x:v>143</x:v>
      </x:c>
      <x:c r="AA163" s="11" t="n">
        <x:v>0</x:v>
      </x:c>
    </x:row>
    <x:row r="164" ht="37" customHeight="1">
      <x:c r="A164" s="2" t="str">
        <x:v>django__django-15498</x:v>
      </x:c>
      <x:c r="B164" s="2" t="str">
        <x:v>django/django</x:v>
      </x:c>
      <x:c r="C164" s="2" t="str">
        <x:v>resolved</x:v>
      </x:c>
      <x:c r="D164" s="2" t="str">
        <x:v>已解决</x:v>
      </x:c>
      <x:c r="E164" s="10" t="str">
        <x:v>gold通过，最新attempt未记录API终止、runner启动失败或评测基础设施终止；不代表原始全套测试零失败。</x:v>
      </x:c>
      <x:c r="F164" s="10" t="str"/>
      <x:c r="G164" s="2" t="str">
        <x:v>通过</x:v>
      </x:c>
      <x:c r="H164" s="2" t="str">
        <x:v>completed</x:v>
      </x:c>
      <x:c r="I164" s="11" t="n">
        <x:v>1</x:v>
      </x:c>
      <x:c r="J164" s="11" t="n">
        <x:v>1</x:v>
      </x:c>
      <x:c r="K164" s="11" t="str">
        <x:v>resolved</x:v>
      </x:c>
      <x:c r="L164" s="11" t="n">
        <x:v>1</x:v>
      </x:c>
      <x:c r="M164" s="11" t="n">
        <x:v>0</x:v>
      </x:c>
      <x:c r="N164" s="11" t="n">
        <x:v>25</x:v>
      </x:c>
      <x:c r="O164" s="11" t="n">
        <x:v>0</x:v>
      </x:c>
      <x:c r="P164" s="11" t="n">
        <x:v>147127</x:v>
      </x:c>
      <x:c r="Q164" s="11" t="n">
        <x:v>147127</x:v>
      </x:c>
      <x:c r="R164" s="11" t="n">
        <x:v>14</x:v>
      </x:c>
      <x:c r="S164" s="11" t="n">
        <x:v>14</x:v>
      </x:c>
      <x:c r="T164" s="11" t="n">
        <x:v>14</x:v>
      </x:c>
      <x:c r="U164" s="12" t="n">
        <x:v>36.769</x:v>
      </x:c>
      <x:c r="V164" s="9" t="str">
        <x:v>django/views/static.py</x:v>
      </x:c>
      <x:c r="W164" s="9" t="str"/>
      <x:c r="X164" s="9" t="str">
        <x:v>task_output-wsl/lite-baseline-001/instances/django__django-15498/attempt-0001/state.json
task_output-wsl/lite-baseline-001/instances/django__django-15498/attempt-0001/state.json</x:v>
      </x:c>
      <x:c r="Y164" s="2" t="str">
        <x:v>thinking
text</x:v>
      </x:c>
      <x:c r="Z164" s="11" t="n">
        <x:v>369</x:v>
      </x:c>
      <x:c r="AA164" s="11" t="n">
        <x:v>0</x:v>
      </x:c>
    </x:row>
    <x:row r="165" ht="37" customHeight="1">
      <x:c r="A165" s="2" t="str">
        <x:v>django__django-15738</x:v>
      </x:c>
      <x:c r="B165" s="2" t="str">
        <x:v>django/django</x:v>
      </x:c>
      <x:c r="C165" s="2" t="str">
        <x:v>resolved</x:v>
      </x:c>
      <x:c r="D165" s="2" t="str">
        <x:v>已解决</x:v>
      </x:c>
      <x:c r="E165" s="10" t="str">
        <x:v>gold通过，最新attempt未记录API终止、runner启动失败或评测基础设施终止；不代表原始全套测试零失败。</x:v>
      </x:c>
      <x:c r="F165" s="10" t="str"/>
      <x:c r="G165" s="2" t="str">
        <x:v>通过</x:v>
      </x:c>
      <x:c r="H165" s="2" t="str">
        <x:v>limit</x:v>
      </x:c>
      <x:c r="I165" s="11" t="n">
        <x:v>1</x:v>
      </x:c>
      <x:c r="J165" s="11" t="n">
        <x:v>1</x:v>
      </x:c>
      <x:c r="K165" s="11" t="str">
        <x:v>resolved</x:v>
      </x:c>
      <x:c r="L165" s="11" t="n">
        <x:v>2</x:v>
      </x:c>
      <x:c r="M165" s="11" t="n">
        <x:v>0</x:v>
      </x:c>
      <x:c r="N165" s="11" t="n">
        <x:v>139</x:v>
      </x:c>
      <x:c r="O165" s="11" t="n">
        <x:v>0</x:v>
      </x:c>
      <x:c r="P165" s="11" t="n">
        <x:v>661191</x:v>
      </x:c>
      <x:c r="Q165" s="11" t="n">
        <x:v>661191</x:v>
      </x:c>
      <x:c r="R165" s="11" t="n">
        <x:v>61</x:v>
      </x:c>
      <x:c r="S165" s="11" t="n">
        <x:v>61</x:v>
      </x:c>
      <x:c r="T165" s="11" t="n">
        <x:v>60</x:v>
      </x:c>
      <x:c r="U165" s="12" t="n">
        <x:v>111.806</x:v>
      </x:c>
      <x:c r="V165" s="9" t="str">
        <x:v>django/db/migrations/autodetector.py</x:v>
      </x:c>
      <x:c r="W165" s="9" t="str"/>
      <x:c r="X165" s="9" t="str">
        <x:v>task_output-wsl/lite-baseline-001/instances/django__django-15738/attempt-0001/state.json
task_output-wsl/lite-baseline-001/instances/django__django-15738/attempt-0001/state.json</x:v>
      </x:c>
      <x:c r="Y165" s="2" t="str">
        <x:v>thinking
tool_use</x:v>
      </x:c>
      <x:c r="Z165" s="11" t="n">
        <x:v>145</x:v>
      </x:c>
      <x:c r="AA165" s="11" t="n">
        <x:v>0</x:v>
      </x:c>
    </x:row>
    <x:row r="166" ht="37" customHeight="1">
      <x:c r="A166" s="2" t="str">
        <x:v>django__django-15781</x:v>
      </x:c>
      <x:c r="B166" s="2" t="str">
        <x:v>django/django</x:v>
      </x:c>
      <x:c r="C166" s="2" t="str">
        <x:v>resolved</x:v>
      </x:c>
      <x:c r="D166" s="2" t="str">
        <x:v>已解决</x:v>
      </x:c>
      <x:c r="E166" s="10" t="str">
        <x:v>gold通过，最新attempt未记录API终止、runner启动失败或评测基础设施终止；不代表原始全套测试零失败。</x:v>
      </x:c>
      <x:c r="F166" s="10" t="str"/>
      <x:c r="G166" s="2" t="str">
        <x:v>通过</x:v>
      </x:c>
      <x:c r="H166" s="2" t="str">
        <x:v>completed</x:v>
      </x:c>
      <x:c r="I166" s="11" t="n">
        <x:v>1</x:v>
      </x:c>
      <x:c r="J166" s="11" t="n">
        <x:v>1</x:v>
      </x:c>
      <x:c r="K166" s="11" t="str">
        <x:v>resolved</x:v>
      </x:c>
      <x:c r="L166" s="11" t="n">
        <x:v>1</x:v>
      </x:c>
      <x:c r="M166" s="11" t="n">
        <x:v>0</x:v>
      </x:c>
      <x:c r="N166" s="11" t="n">
        <x:v>43</x:v>
      </x:c>
      <x:c r="O166" s="11" t="n">
        <x:v>0</x:v>
      </x:c>
      <x:c r="P166" s="11" t="n">
        <x:v>291021</x:v>
      </x:c>
      <x:c r="Q166" s="11" t="n">
        <x:v>291021</x:v>
      </x:c>
      <x:c r="R166" s="11" t="n">
        <x:v>28</x:v>
      </x:c>
      <x:c r="S166" s="11" t="n">
        <x:v>28</x:v>
      </x:c>
      <x:c r="T166" s="11" t="n">
        <x:v>28</x:v>
      </x:c>
      <x:c r="U166" s="12" t="n">
        <x:v>114.886</x:v>
      </x:c>
      <x:c r="V166" s="9" t="str">
        <x:v>django/core/management/base.py</x:v>
      </x:c>
      <x:c r="W166" s="9" t="str"/>
      <x:c r="X166" s="9" t="str">
        <x:v>task_output-wsl/lite-baseline-001/instances/django__django-15781/attempt-0001/state.json
task_output-wsl/lite-baseline-001/instances/django__django-15781/attempt-0001/state.json</x:v>
      </x:c>
      <x:c r="Y166" s="2" t="str">
        <x:v>thinking
text</x:v>
      </x:c>
      <x:c r="Z166" s="11" t="n">
        <x:v>252</x:v>
      </x:c>
      <x:c r="AA166" s="11" t="n">
        <x:v>0</x:v>
      </x:c>
    </x:row>
    <x:row r="167" ht="51" customHeight="1">
      <x:c r="A167" s="2" t="str">
        <x:v>django__django-15789</x:v>
      </x:c>
      <x:c r="B167" s="2" t="str">
        <x:v>django/django</x:v>
      </x:c>
      <x:c r="C167" s="2" t="str">
        <x:v>resolved</x:v>
      </x:c>
      <x:c r="D167" s="2" t="str">
        <x:v>已解决</x:v>
      </x:c>
      <x:c r="E167" s="10" t="str">
        <x:v>gold通过，最新attempt未记录API终止、runner启动失败或评测基础设施终止；不代表原始全套测试零失败。</x:v>
      </x:c>
      <x:c r="F167" s="10" t="str"/>
      <x:c r="G167" s="2" t="str">
        <x:v>通过</x:v>
      </x:c>
      <x:c r="H167" s="2" t="str">
        <x:v>completed</x:v>
      </x:c>
      <x:c r="I167" s="11" t="n">
        <x:v>1</x:v>
      </x:c>
      <x:c r="J167" s="11" t="n">
        <x:v>1</x:v>
      </x:c>
      <x:c r="K167" s="11" t="str">
        <x:v>resolved</x:v>
      </x:c>
      <x:c r="L167" s="11" t="n">
        <x:v>1</x:v>
      </x:c>
      <x:c r="M167" s="11" t="n">
        <x:v>0</x:v>
      </x:c>
      <x:c r="N167" s="11" t="n">
        <x:v>17</x:v>
      </x:c>
      <x:c r="O167" s="11" t="n">
        <x:v>0</x:v>
      </x:c>
      <x:c r="P167" s="11" t="n">
        <x:v>177701</x:v>
      </x:c>
      <x:c r="Q167" s="11" t="n">
        <x:v>177701</x:v>
      </x:c>
      <x:c r="R167" s="11" t="n">
        <x:v>18</x:v>
      </x:c>
      <x:c r="S167" s="11" t="n">
        <x:v>18</x:v>
      </x:c>
      <x:c r="T167" s="11" t="n">
        <x:v>18</x:v>
      </x:c>
      <x:c r="U167" s="12" t="n">
        <x:v>41.022</x:v>
      </x:c>
      <x:c r="V167" s="9" t="str">
        <x:v>django/utils/html.py
docs/ref/utils.txt
docs/releases/4.2.txt</x:v>
      </x:c>
      <x:c r="W167" s="9" t="str"/>
      <x:c r="X167" s="9" t="str">
        <x:v>task_output-wsl/lite-baseline-001/instances/django__django-15789/attempt-0001/state.json
task_output-wsl/lite-baseline-001/instances/django__django-15789/attempt-0001/state.json</x:v>
      </x:c>
      <x:c r="Y167" s="2" t="str">
        <x:v>thinking
text</x:v>
      </x:c>
      <x:c r="Z167" s="11" t="n">
        <x:v>137</x:v>
      </x:c>
      <x:c r="AA167" s="11" t="n">
        <x:v>0</x:v>
      </x:c>
    </x:row>
    <x:row r="168" ht="37" customHeight="1">
      <x:c r="A168" s="2" t="str">
        <x:v>django__django-15790</x:v>
      </x:c>
      <x:c r="B168" s="2" t="str">
        <x:v>django/django</x:v>
      </x:c>
      <x:c r="C168" s="2" t="str">
        <x:v>resolved</x:v>
      </x:c>
      <x:c r="D168" s="2" t="str">
        <x:v>已解决</x:v>
      </x:c>
      <x:c r="E168" s="10" t="str">
        <x:v>gold通过，最新attempt未记录API终止、runner启动失败或评测基础设施终止；不代表原始全套测试零失败。</x:v>
      </x:c>
      <x:c r="F168" s="10" t="str"/>
      <x:c r="G168" s="2" t="str">
        <x:v>通过</x:v>
      </x:c>
      <x:c r="H168" s="2" t="str">
        <x:v>completed</x:v>
      </x:c>
      <x:c r="I168" s="11" t="n">
        <x:v>1</x:v>
      </x:c>
      <x:c r="J168" s="11" t="n">
        <x:v>1</x:v>
      </x:c>
      <x:c r="K168" s="11" t="str">
        <x:v>resolved</x:v>
      </x:c>
      <x:c r="L168" s="11" t="n">
        <x:v>1</x:v>
      </x:c>
      <x:c r="M168" s="11" t="n">
        <x:v>0</x:v>
      </x:c>
      <x:c r="N168" s="11" t="n">
        <x:v>12</x:v>
      </x:c>
      <x:c r="O168" s="11" t="n">
        <x:v>0</x:v>
      </x:c>
      <x:c r="P168" s="11" t="n">
        <x:v>112930</x:v>
      </x:c>
      <x:c r="Q168" s="11" t="n">
        <x:v>112930</x:v>
      </x:c>
      <x:c r="R168" s="11" t="n">
        <x:v>14</x:v>
      </x:c>
      <x:c r="S168" s="11" t="n">
        <x:v>14</x:v>
      </x:c>
      <x:c r="T168" s="11" t="n">
        <x:v>14</x:v>
      </x:c>
      <x:c r="U168" s="12" t="n">
        <x:v>29.386</x:v>
      </x:c>
      <x:c r="V168" s="9" t="str">
        <x:v>django/core/checks/templates.py</x:v>
      </x:c>
      <x:c r="W168" s="9" t="str"/>
      <x:c r="X168" s="9" t="str">
        <x:v>task_output-wsl/lite-baseline-001/instances/django__django-15790/attempt-0001/state.json
task_output-wsl/lite-baseline-001/instances/django__django-15790/attempt-0001/state.json</x:v>
      </x:c>
      <x:c r="Y168" s="2" t="str">
        <x:v>thinking
text</x:v>
      </x:c>
      <x:c r="Z168" s="11" t="n">
        <x:v>166</x:v>
      </x:c>
      <x:c r="AA168" s="11" t="n">
        <x:v>0</x:v>
      </x:c>
    </x:row>
    <x:row r="169" ht="37" customHeight="1">
      <x:c r="A169" s="2" t="str">
        <x:v>django__django-15814</x:v>
      </x:c>
      <x:c r="B169" s="2" t="str">
        <x:v>django/django</x:v>
      </x:c>
      <x:c r="C169" s="2" t="str">
        <x:v>resolved</x:v>
      </x:c>
      <x:c r="D169" s="2" t="str">
        <x:v>已解决</x:v>
      </x:c>
      <x:c r="E169" s="10" t="str">
        <x:v>gold通过，最新attempt未记录API终止、runner启动失败或评测基础设施终止；不代表原始全套测试零失败。</x:v>
      </x:c>
      <x:c r="F169" s="10" t="str"/>
      <x:c r="G169" s="2" t="str">
        <x:v>通过</x:v>
      </x:c>
      <x:c r="H169" s="2" t="str">
        <x:v>completed</x:v>
      </x:c>
      <x:c r="I169" s="11" t="n">
        <x:v>1</x:v>
      </x:c>
      <x:c r="J169" s="11" t="n">
        <x:v>1</x:v>
      </x:c>
      <x:c r="K169" s="11" t="str">
        <x:v>resolved</x:v>
      </x:c>
      <x:c r="L169" s="11" t="n">
        <x:v>1</x:v>
      </x:c>
      <x:c r="M169" s="11" t="n">
        <x:v>0</x:v>
      </x:c>
      <x:c r="N169" s="11" t="n">
        <x:v>29</x:v>
      </x:c>
      <x:c r="O169" s="11" t="n">
        <x:v>0</x:v>
      </x:c>
      <x:c r="P169" s="11" t="n">
        <x:v>402576</x:v>
      </x:c>
      <x:c r="Q169" s="11" t="n">
        <x:v>402576</x:v>
      </x:c>
      <x:c r="R169" s="11" t="n">
        <x:v>36</x:v>
      </x:c>
      <x:c r="S169" s="11" t="n">
        <x:v>36</x:v>
      </x:c>
      <x:c r="T169" s="11" t="n">
        <x:v>36</x:v>
      </x:c>
      <x:c r="U169" s="12" t="n">
        <x:v>70.684</x:v>
      </x:c>
      <x:c r="V169" s="9" t="str">
        <x:v>django/db/models/sql/query.py</x:v>
      </x:c>
      <x:c r="W169" s="9" t="str"/>
      <x:c r="X169" s="9" t="str">
        <x:v>task_output-wsl/lite-baseline-001/instances/django__django-15814/attempt-0001/state.json
task_output-wsl/lite-baseline-001/instances/django__django-15814/attempt-0001/state.json</x:v>
      </x:c>
      <x:c r="Y169" s="2" t="str">
        <x:v>thinking
text</x:v>
      </x:c>
      <x:c r="Z169" s="11" t="n">
        <x:v>808</x:v>
      </x:c>
      <x:c r="AA169" s="11" t="n">
        <x:v>0</x:v>
      </x:c>
    </x:row>
    <x:row r="170" ht="37" customHeight="1">
      <x:c r="A170" s="2" t="str">
        <x:v>django__django-15819</x:v>
      </x:c>
      <x:c r="B170" s="2" t="str">
        <x:v>django/django</x:v>
      </x:c>
      <x:c r="C170" s="2" t="str">
        <x:v>resolved</x:v>
      </x:c>
      <x:c r="D170" s="2" t="str">
        <x:v>已解决</x:v>
      </x:c>
      <x:c r="E170" s="10" t="str">
        <x:v>gold通过，最新attempt未记录API终止、runner启动失败或评测基础设施终止；不代表原始全套测试零失败。</x:v>
      </x:c>
      <x:c r="F170" s="10" t="str"/>
      <x:c r="G170" s="2" t="str">
        <x:v>通过</x:v>
      </x:c>
      <x:c r="H170" s="2" t="str">
        <x:v>completed</x:v>
      </x:c>
      <x:c r="I170" s="11" t="n">
        <x:v>1</x:v>
      </x:c>
      <x:c r="J170" s="11" t="n">
        <x:v>1</x:v>
      </x:c>
      <x:c r="K170" s="11" t="str">
        <x:v>resolved</x:v>
      </x:c>
      <x:c r="L170" s="11" t="n">
        <x:v>1</x:v>
      </x:c>
      <x:c r="M170" s="11" t="n">
        <x:v>0</x:v>
      </x:c>
      <x:c r="N170" s="11" t="n">
        <x:v>18</x:v>
      </x:c>
      <x:c r="O170" s="11" t="n">
        <x:v>0</x:v>
      </x:c>
      <x:c r="P170" s="11" t="n">
        <x:v>237027</x:v>
      </x:c>
      <x:c r="Q170" s="11" t="n">
        <x:v>237027</x:v>
      </x:c>
      <x:c r="R170" s="11" t="n">
        <x:v>23</x:v>
      </x:c>
      <x:c r="S170" s="11" t="n">
        <x:v>23</x:v>
      </x:c>
      <x:c r="T170" s="11" t="n">
        <x:v>23</x:v>
      </x:c>
      <x:c r="U170" s="12" t="n">
        <x:v>59.06</x:v>
      </x:c>
      <x:c r="V170" s="9" t="str">
        <x:v>django/core/management/commands/inspectdb.py</x:v>
      </x:c>
      <x:c r="W170" s="9" t="str"/>
      <x:c r="X170" s="9" t="str">
        <x:v>task_output-wsl/lite-baseline-001/instances/django__django-15819/attempt-0001/state.json
task_output-wsl/lite-baseline-001/instances/django__django-15819/attempt-0001/state.json</x:v>
      </x:c>
      <x:c r="Y170" s="2" t="str">
        <x:v>thinking
text</x:v>
      </x:c>
      <x:c r="Z170" s="11" t="n">
        <x:v>357</x:v>
      </x:c>
      <x:c r="AA170" s="11" t="n">
        <x:v>0</x:v>
      </x:c>
    </x:row>
    <x:row r="171" ht="37" customHeight="1">
      <x:c r="A171" s="2" t="str">
        <x:v>django__django-15851</x:v>
      </x:c>
      <x:c r="B171" s="2" t="str">
        <x:v>django/django</x:v>
      </x:c>
      <x:c r="C171" s="2" t="str">
        <x:v>resolved</x:v>
      </x:c>
      <x:c r="D171" s="2" t="str">
        <x:v>已解决</x:v>
      </x:c>
      <x:c r="E171" s="10" t="str">
        <x:v>gold通过，最新attempt未记录API终止、runner启动失败或评测基础设施终止；不代表原始全套测试零失败。</x:v>
      </x:c>
      <x:c r="F171" s="10" t="str"/>
      <x:c r="G171" s="2" t="str">
        <x:v>通过</x:v>
      </x:c>
      <x:c r="H171" s="2" t="str">
        <x:v>completed</x:v>
      </x:c>
      <x:c r="I171" s="11" t="n">
        <x:v>1</x:v>
      </x:c>
      <x:c r="J171" s="11" t="n">
        <x:v>1</x:v>
      </x:c>
      <x:c r="K171" s="11" t="str">
        <x:v>resolved</x:v>
      </x:c>
      <x:c r="L171" s="11" t="n">
        <x:v>1</x:v>
      </x:c>
      <x:c r="M171" s="11" t="n">
        <x:v>0</x:v>
      </x:c>
      <x:c r="N171" s="11" t="n">
        <x:v>8</x:v>
      </x:c>
      <x:c r="O171" s="11" t="n">
        <x:v>0</x:v>
      </x:c>
      <x:c r="P171" s="11" t="n">
        <x:v>53107</x:v>
      </x:c>
      <x:c r="Q171" s="11" t="n">
        <x:v>53107</x:v>
      </x:c>
      <x:c r="R171" s="11" t="n">
        <x:v>11</x:v>
      </x:c>
      <x:c r="S171" s="11" t="n">
        <x:v>11</x:v>
      </x:c>
      <x:c r="T171" s="11" t="n">
        <x:v>11</x:v>
      </x:c>
      <x:c r="U171" s="12" t="n">
        <x:v>14.233</x:v>
      </x:c>
      <x:c r="V171" s="9" t="str">
        <x:v>django/db/backends/postgresql/client.py</x:v>
      </x:c>
      <x:c r="W171" s="9" t="str"/>
      <x:c r="X171" s="9" t="str">
        <x:v>task_output-wsl/lite-baseline-001/instances/django__django-15851/attempt-0001/state.json
task_output-wsl/lite-baseline-001/instances/django__django-15851/attempt-0001/state.json</x:v>
      </x:c>
      <x:c r="Y171" s="2" t="str">
        <x:v>thinking
text</x:v>
      </x:c>
      <x:c r="Z171" s="11" t="n">
        <x:v>134</x:v>
      </x:c>
      <x:c r="AA171" s="11" t="n">
        <x:v>0</x:v>
      </x:c>
    </x:row>
    <x:row r="172" ht="37" customHeight="1">
      <x:c r="A172" s="2" t="str">
        <x:v>django__django-15902</x:v>
      </x:c>
      <x:c r="B172" s="2" t="str">
        <x:v>django/django</x:v>
      </x:c>
      <x:c r="C172" s="2" t="str">
        <x:v>resolved</x:v>
      </x:c>
      <x:c r="D172" s="2" t="str">
        <x:v>已解决</x:v>
      </x:c>
      <x:c r="E172" s="10" t="str">
        <x:v>gold通过，最新attempt未记录API终止、runner启动失败或评测基础设施终止；不代表原始全套测试零失败。</x:v>
      </x:c>
      <x:c r="F172" s="10" t="str"/>
      <x:c r="G172" s="2" t="str">
        <x:v>通过</x:v>
      </x:c>
      <x:c r="H172" s="2" t="str">
        <x:v>completed</x:v>
      </x:c>
      <x:c r="I172" s="11" t="n">
        <x:v>1</x:v>
      </x:c>
      <x:c r="J172" s="11" t="n">
        <x:v>1</x:v>
      </x:c>
      <x:c r="K172" s="11" t="str">
        <x:v>resolved</x:v>
      </x:c>
      <x:c r="L172" s="11" t="n">
        <x:v>1</x:v>
      </x:c>
      <x:c r="M172" s="11" t="n">
        <x:v>0</x:v>
      </x:c>
      <x:c r="N172" s="11" t="n">
        <x:v>112</x:v>
      </x:c>
      <x:c r="O172" s="11" t="n">
        <x:v>0</x:v>
      </x:c>
      <x:c r="P172" s="11" t="n">
        <x:v>192436</x:v>
      </x:c>
      <x:c r="Q172" s="11" t="n">
        <x:v>192436</x:v>
      </x:c>
      <x:c r="R172" s="11" t="n">
        <x:v>19</x:v>
      </x:c>
      <x:c r="S172" s="11" t="n">
        <x:v>19</x:v>
      </x:c>
      <x:c r="T172" s="11" t="n">
        <x:v>19</x:v>
      </x:c>
      <x:c r="U172" s="12" t="n">
        <x:v>45.969</x:v>
      </x:c>
      <x:c r="V172" s="9" t="str">
        <x:v>django/forms/formsets.py</x:v>
      </x:c>
      <x:c r="W172" s="9" t="str"/>
      <x:c r="X172" s="9" t="str">
        <x:v>task_output-wsl/lite-baseline-001/instances/django__django-15902/attempt-0001/state.json
task_output-wsl/lite-baseline-001/instances/django__django-15902/attempt-0001/state.json</x:v>
      </x:c>
      <x:c r="Y172" s="2" t="str">
        <x:v>thinking
text</x:v>
      </x:c>
      <x:c r="Z172" s="11" t="n">
        <x:v>185</x:v>
      </x:c>
      <x:c r="AA172" s="11" t="n">
        <x:v>0</x:v>
      </x:c>
    </x:row>
    <x:row r="173" ht="37" customHeight="1">
      <x:c r="A173" s="2" t="str">
        <x:v>django__django-16041</x:v>
      </x:c>
      <x:c r="B173" s="2" t="str">
        <x:v>django/django</x:v>
      </x:c>
      <x:c r="C173" s="2" t="str">
        <x:v>resolved</x:v>
      </x:c>
      <x:c r="D173" s="2" t="str">
        <x:v>已解决</x:v>
      </x:c>
      <x:c r="E173" s="10" t="str">
        <x:v>gold通过，最新attempt未记录API终止、runner启动失败或评测基础设施终止；不代表原始全套测试零失败。</x:v>
      </x:c>
      <x:c r="F173" s="10" t="str"/>
      <x:c r="G173" s="2" t="str">
        <x:v>通过</x:v>
      </x:c>
      <x:c r="H173" s="2" t="str">
        <x:v>completed</x:v>
      </x:c>
      <x:c r="I173" s="11" t="n">
        <x:v>1</x:v>
      </x:c>
      <x:c r="J173" s="11" t="n">
        <x:v>1</x:v>
      </x:c>
      <x:c r="K173" s="11" t="str">
        <x:v>resolved</x:v>
      </x:c>
      <x:c r="L173" s="11" t="n">
        <x:v>2</x:v>
      </x:c>
      <x:c r="M173" s="11" t="n">
        <x:v>0</x:v>
      </x:c>
      <x:c r="N173" s="11" t="n">
        <x:v>113</x:v>
      </x:c>
      <x:c r="O173" s="11" t="n">
        <x:v>0</x:v>
      </x:c>
      <x:c r="P173" s="11" t="n">
        <x:v>137061</x:v>
      </x:c>
      <x:c r="Q173" s="11" t="n">
        <x:v>137061</x:v>
      </x:c>
      <x:c r="R173" s="11" t="n">
        <x:v>15</x:v>
      </x:c>
      <x:c r="S173" s="11" t="n">
        <x:v>15</x:v>
      </x:c>
      <x:c r="T173" s="11" t="n">
        <x:v>15</x:v>
      </x:c>
      <x:c r="U173" s="12" t="n">
        <x:v>31.129</x:v>
      </x:c>
      <x:c r="V173" s="9" t="str">
        <x:v>django/forms/formsets.py</x:v>
      </x:c>
      <x:c r="W173" s="9" t="str"/>
      <x:c r="X173" s="9" t="str">
        <x:v>task_output-wsl/lite-baseline-001/instances/django__django-16041/attempt-0001/state.json
task_output-wsl/lite-baseline-001/instances/django__django-16041/attempt-0001/state.json</x:v>
      </x:c>
      <x:c r="Y173" s="2" t="str">
        <x:v>thinking
text</x:v>
      </x:c>
      <x:c r="Z173" s="11" t="n">
        <x:v>154</x:v>
      </x:c>
      <x:c r="AA173" s="11" t="n">
        <x:v>0</x:v>
      </x:c>
    </x:row>
    <x:row r="174" ht="37" customHeight="1">
      <x:c r="A174" s="2" t="str">
        <x:v>django__django-16046</x:v>
      </x:c>
      <x:c r="B174" s="2" t="str">
        <x:v>django/django</x:v>
      </x:c>
      <x:c r="C174" s="2" t="str">
        <x:v>resolved</x:v>
      </x:c>
      <x:c r="D174" s="2" t="str">
        <x:v>已解决</x:v>
      </x:c>
      <x:c r="E174" s="10" t="str">
        <x:v>gold通过，最新attempt未记录API终止、runner启动失败或评测基础设施终止；不代表原始全套测试零失败。</x:v>
      </x:c>
      <x:c r="F174" s="10" t="str"/>
      <x:c r="G174" s="2" t="str">
        <x:v>通过</x:v>
      </x:c>
      <x:c r="H174" s="2" t="str">
        <x:v>completed</x:v>
      </x:c>
      <x:c r="I174" s="11" t="n">
        <x:v>1</x:v>
      </x:c>
      <x:c r="J174" s="11" t="n">
        <x:v>1</x:v>
      </x:c>
      <x:c r="K174" s="11" t="str">
        <x:v>resolved</x:v>
      </x:c>
      <x:c r="L174" s="11" t="n">
        <x:v>1</x:v>
      </x:c>
      <x:c r="M174" s="11" t="n">
        <x:v>0</x:v>
      </x:c>
      <x:c r="N174" s="11" t="n">
        <x:v>6</x:v>
      </x:c>
      <x:c r="O174" s="11" t="n">
        <x:v>0</x:v>
      </x:c>
      <x:c r="P174" s="11" t="n">
        <x:v>167366</x:v>
      </x:c>
      <x:c r="Q174" s="11" t="n">
        <x:v>167366</x:v>
      </x:c>
      <x:c r="R174" s="11" t="n">
        <x:v>18</x:v>
      </x:c>
      <x:c r="S174" s="11" t="n">
        <x:v>18</x:v>
      </x:c>
      <x:c r="T174" s="11" t="n">
        <x:v>18</x:v>
      </x:c>
      <x:c r="U174" s="12" t="n">
        <x:v>48.299</x:v>
      </x:c>
      <x:c r="V174" s="9" t="str">
        <x:v>django/utils/numberformat.py</x:v>
      </x:c>
      <x:c r="W174" s="9" t="str"/>
      <x:c r="X174" s="9" t="str">
        <x:v>task_output-wsl/lite-baseline-001/instances/django__django-16046/attempt-0001/state.json
task_output-wsl/lite-baseline-001/instances/django__django-16046/attempt-0001/state.json</x:v>
      </x:c>
      <x:c r="Y174" s="2" t="str">
        <x:v>thinking
text</x:v>
      </x:c>
      <x:c r="Z174" s="11" t="n">
        <x:v>247</x:v>
      </x:c>
      <x:c r="AA174" s="11" t="n">
        <x:v>0</x:v>
      </x:c>
    </x:row>
    <x:row r="175" ht="37" customHeight="1">
      <x:c r="A175" s="2" t="str">
        <x:v>django__django-16139</x:v>
      </x:c>
      <x:c r="B175" s="2" t="str">
        <x:v>django/django</x:v>
      </x:c>
      <x:c r="C175" s="2" t="str">
        <x:v>resolved</x:v>
      </x:c>
      <x:c r="D175" s="2" t="str">
        <x:v>已解决</x:v>
      </x:c>
      <x:c r="E175" s="10" t="str">
        <x:v>gold通过，最新attempt未记录API终止、runner启动失败或评测基础设施终止；不代表原始全套测试零失败。</x:v>
      </x:c>
      <x:c r="F175" s="10" t="str"/>
      <x:c r="G175" s="2" t="str">
        <x:v>通过</x:v>
      </x:c>
      <x:c r="H175" s="2" t="str">
        <x:v>completed</x:v>
      </x:c>
      <x:c r="I175" s="11" t="n">
        <x:v>1</x:v>
      </x:c>
      <x:c r="J175" s="11" t="n">
        <x:v>1</x:v>
      </x:c>
      <x:c r="K175" s="11" t="str">
        <x:v>resolved</x:v>
      </x:c>
      <x:c r="L175" s="11" t="n">
        <x:v>1</x:v>
      </x:c>
      <x:c r="M175" s="11" t="n">
        <x:v>0</x:v>
      </x:c>
      <x:c r="N175" s="11" t="n">
        <x:v>86</x:v>
      </x:c>
      <x:c r="O175" s="11" t="n">
        <x:v>0</x:v>
      </x:c>
      <x:c r="P175" s="11" t="n">
        <x:v>110666</x:v>
      </x:c>
      <x:c r="Q175" s="11" t="n">
        <x:v>110666</x:v>
      </x:c>
      <x:c r="R175" s="11" t="n">
        <x:v>13</x:v>
      </x:c>
      <x:c r="S175" s="11" t="n">
        <x:v>13</x:v>
      </x:c>
      <x:c r="T175" s="11" t="n">
        <x:v>13</x:v>
      </x:c>
      <x:c r="U175" s="12" t="n">
        <x:v>34.971</x:v>
      </x:c>
      <x:c r="V175" s="9" t="str">
        <x:v>django/contrib/auth/forms.py</x:v>
      </x:c>
      <x:c r="W175" s="9" t="str"/>
      <x:c r="X175" s="9" t="str">
        <x:v>task_output-wsl/lite-baseline-001/instances/django__django-16139/attempt-0001/state.json
task_output-wsl/lite-baseline-001/instances/django__django-16139/attempt-0001/state.json</x:v>
      </x:c>
      <x:c r="Y175" s="2" t="str">
        <x:v>thinking
text</x:v>
      </x:c>
      <x:c r="Z175" s="11" t="n">
        <x:v>343</x:v>
      </x:c>
      <x:c r="AA175" s="11" t="n">
        <x:v>0</x:v>
      </x:c>
    </x:row>
    <x:row r="176" ht="37" customHeight="1">
      <x:c r="A176" s="2" t="str">
        <x:v>django__django-16229</x:v>
      </x:c>
      <x:c r="B176" s="2" t="str">
        <x:v>django/django</x:v>
      </x:c>
      <x:c r="C176" s="2" t="str">
        <x:v>resolved</x:v>
      </x:c>
      <x:c r="D176" s="2" t="str">
        <x:v>已解决</x:v>
      </x:c>
      <x:c r="E176" s="10" t="str">
        <x:v>gold通过，最新attempt未记录API终止、runner启动失败或评测基础设施终止；不代表原始全套测试零失败。</x:v>
      </x:c>
      <x:c r="F176" s="10" t="str"/>
      <x:c r="G176" s="2" t="str">
        <x:v>通过</x:v>
      </x:c>
      <x:c r="H176" s="2" t="str">
        <x:v>limit</x:v>
      </x:c>
      <x:c r="I176" s="11" t="n">
        <x:v>1</x:v>
      </x:c>
      <x:c r="J176" s="11" t="n">
        <x:v>1</x:v>
      </x:c>
      <x:c r="K176" s="11" t="str">
        <x:v>resolved</x:v>
      </x:c>
      <x:c r="L176" s="11" t="n">
        <x:v>1</x:v>
      </x:c>
      <x:c r="M176" s="11" t="n">
        <x:v>0</x:v>
      </x:c>
      <x:c r="N176" s="11" t="n">
        <x:v>21</x:v>
      </x:c>
      <x:c r="O176" s="11" t="n">
        <x:v>0</x:v>
      </x:c>
      <x:c r="P176" s="11" t="n">
        <x:v>653513</x:v>
      </x:c>
      <x:c r="Q176" s="11" t="n">
        <x:v>653513</x:v>
      </x:c>
      <x:c r="R176" s="11" t="n">
        <x:v>63</x:v>
      </x:c>
      <x:c r="S176" s="11" t="n">
        <x:v>63</x:v>
      </x:c>
      <x:c r="T176" s="11" t="n">
        <x:v>60</x:v>
      </x:c>
      <x:c r="U176" s="12" t="n">
        <x:v>154.657</x:v>
      </x:c>
      <x:c r="V176" s="9" t="str">
        <x:v>django/forms/boundfield.py</x:v>
      </x:c>
      <x:c r="W176" s="9" t="str"/>
      <x:c r="X176" s="9" t="str">
        <x:v>task_output-wsl/lite-baseline-001/instances/django__django-16229/attempt-0001/state.json
task_output-wsl/lite-baseline-001/instances/django__django-16229/attempt-0001/state.json</x:v>
      </x:c>
      <x:c r="Y176" s="2" t="str">
        <x:v>thinking
tool_use</x:v>
      </x:c>
      <x:c r="Z176" s="11" t="n">
        <x:v>485</x:v>
      </x:c>
      <x:c r="AA176" s="11" t="n">
        <x:v>0</x:v>
      </x:c>
    </x:row>
    <x:row r="177" ht="37" customHeight="1">
      <x:c r="A177" s="2" t="str">
        <x:v>django__django-16255</x:v>
      </x:c>
      <x:c r="B177" s="2" t="str">
        <x:v>django/django</x:v>
      </x:c>
      <x:c r="C177" s="2" t="str">
        <x:v>resolved</x:v>
      </x:c>
      <x:c r="D177" s="2" t="str">
        <x:v>已解决</x:v>
      </x:c>
      <x:c r="E177" s="10" t="str">
        <x:v>gold通过，最新attempt未记录API终止、runner启动失败或评测基础设施终止；不代表原始全套测试零失败。</x:v>
      </x:c>
      <x:c r="F177" s="10" t="str"/>
      <x:c r="G177" s="2" t="str">
        <x:v>通过</x:v>
      </x:c>
      <x:c r="H177" s="2" t="str">
        <x:v>completed</x:v>
      </x:c>
      <x:c r="I177" s="11" t="n">
        <x:v>1</x:v>
      </x:c>
      <x:c r="J177" s="11" t="n">
        <x:v>1</x:v>
      </x:c>
      <x:c r="K177" s="11" t="str">
        <x:v>resolved</x:v>
      </x:c>
      <x:c r="L177" s="11" t="n">
        <x:v>1</x:v>
      </x:c>
      <x:c r="M177" s="11" t="n">
        <x:v>0</x:v>
      </x:c>
      <x:c r="N177" s="11" t="n">
        <x:v>36</x:v>
      </x:c>
      <x:c r="O177" s="11" t="n">
        <x:v>0</x:v>
      </x:c>
      <x:c r="P177" s="11" t="n">
        <x:v>32309</x:v>
      </x:c>
      <x:c r="Q177" s="11" t="n">
        <x:v>32309</x:v>
      </x:c>
      <x:c r="R177" s="11" t="n">
        <x:v>7</x:v>
      </x:c>
      <x:c r="S177" s="11" t="n">
        <x:v>7</x:v>
      </x:c>
      <x:c r="T177" s="11" t="n">
        <x:v>7</x:v>
      </x:c>
      <x:c r="U177" s="12" t="n">
        <x:v>9.993</x:v>
      </x:c>
      <x:c r="V177" s="9" t="str">
        <x:v>django/contrib/sitemaps/__init__.py</x:v>
      </x:c>
      <x:c r="W177" s="9" t="str"/>
      <x:c r="X177" s="9" t="str">
        <x:v>task_output-wsl/lite-baseline-001/instances/django__django-16255/attempt-0001/state.json
task_output-wsl/lite-baseline-001/instances/django__django-16255/attempt-0001/state.json</x:v>
      </x:c>
      <x:c r="Y177" s="2" t="str">
        <x:v>thinking
text</x:v>
      </x:c>
      <x:c r="Z177" s="11" t="n">
        <x:v>155</x:v>
      </x:c>
      <x:c r="AA177" s="11" t="n">
        <x:v>0</x:v>
      </x:c>
    </x:row>
    <x:row r="178" ht="37" customHeight="1">
      <x:c r="A178" s="2" t="str">
        <x:v>django__django-16379</x:v>
      </x:c>
      <x:c r="B178" s="2" t="str">
        <x:v>django/django</x:v>
      </x:c>
      <x:c r="C178" s="2" t="str">
        <x:v>resolved</x:v>
      </x:c>
      <x:c r="D178" s="2" t="str">
        <x:v>已解决</x:v>
      </x:c>
      <x:c r="E178" s="10" t="str">
        <x:v>gold通过，最新attempt未记录API终止、runner启动失败或评测基础设施终止；不代表原始全套测试零失败。</x:v>
      </x:c>
      <x:c r="F178" s="10" t="str"/>
      <x:c r="G178" s="2" t="str">
        <x:v>通过</x:v>
      </x:c>
      <x:c r="H178" s="2" t="str">
        <x:v>completed</x:v>
      </x:c>
      <x:c r="I178" s="11" t="n">
        <x:v>1</x:v>
      </x:c>
      <x:c r="J178" s="11" t="n">
        <x:v>1</x:v>
      </x:c>
      <x:c r="K178" s="11" t="str">
        <x:v>resolved</x:v>
      </x:c>
      <x:c r="L178" s="11" t="n">
        <x:v>2</x:v>
      </x:c>
      <x:c r="M178" s="11" t="n">
        <x:v>0</x:v>
      </x:c>
      <x:c r="N178" s="11" t="n">
        <x:v>362</x:v>
      </x:c>
      <x:c r="O178" s="11" t="n">
        <x:v>0</x:v>
      </x:c>
      <x:c r="P178" s="11" t="n">
        <x:v>113050</x:v>
      </x:c>
      <x:c r="Q178" s="11" t="n">
        <x:v>113050</x:v>
      </x:c>
      <x:c r="R178" s="11" t="n">
        <x:v>14</x:v>
      </x:c>
      <x:c r="S178" s="11" t="n">
        <x:v>14</x:v>
      </x:c>
      <x:c r="T178" s="11" t="n">
        <x:v>14</x:v>
      </x:c>
      <x:c r="U178" s="12" t="n">
        <x:v>44.618</x:v>
      </x:c>
      <x:c r="V178" s="9" t="str">
        <x:v>django/core/cache/backends/filebased.py</x:v>
      </x:c>
      <x:c r="W178" s="9" t="str"/>
      <x:c r="X178" s="9" t="str">
        <x:v>task_output-wsl/lite-baseline-001/instances/django__django-16379/attempt-0001/state.json
task_output-wsl/lite-baseline-001/instances/django__django-16379/attempt-0001/state.json</x:v>
      </x:c>
      <x:c r="Y178" s="2" t="str">
        <x:v>thinking
text</x:v>
      </x:c>
      <x:c r="Z178" s="11" t="n">
        <x:v>115</x:v>
      </x:c>
      <x:c r="AA178" s="11" t="n">
        <x:v>0</x:v>
      </x:c>
    </x:row>
    <x:row r="179" ht="37" customHeight="1">
      <x:c r="A179" s="2" t="str">
        <x:v>django__django-16400</x:v>
      </x:c>
      <x:c r="B179" s="2" t="str">
        <x:v>django/django</x:v>
      </x:c>
      <x:c r="C179" s="2" t="str">
        <x:v>resolved</x:v>
      </x:c>
      <x:c r="D179" s="2" t="str">
        <x:v>已解决</x:v>
      </x:c>
      <x:c r="E179" s="10" t="str">
        <x:v>gold通过，最新attempt未记录API终止、runner启动失败或评测基础设施终止；不代表原始全套测试零失败。</x:v>
      </x:c>
      <x:c r="F179" s="10" t="str"/>
      <x:c r="G179" s="2" t="str">
        <x:v>通过</x:v>
      </x:c>
      <x:c r="H179" s="2" t="str">
        <x:v>completed</x:v>
      </x:c>
      <x:c r="I179" s="11" t="n">
        <x:v>1</x:v>
      </x:c>
      <x:c r="J179" s="11" t="n">
        <x:v>1</x:v>
      </x:c>
      <x:c r="K179" s="11" t="str">
        <x:v>resolved</x:v>
      </x:c>
      <x:c r="L179" s="11" t="n">
        <x:v>1</x:v>
      </x:c>
      <x:c r="M179" s="11" t="n">
        <x:v>0</x:v>
      </x:c>
      <x:c r="N179" s="11" t="n">
        <x:v>63</x:v>
      </x:c>
      <x:c r="O179" s="11" t="n">
        <x:v>0</x:v>
      </x:c>
      <x:c r="P179" s="11" t="n">
        <x:v>325203</x:v>
      </x:c>
      <x:c r="Q179" s="11" t="n">
        <x:v>325203</x:v>
      </x:c>
      <x:c r="R179" s="11" t="n">
        <x:v>33</x:v>
      </x:c>
      <x:c r="S179" s="11" t="n">
        <x:v>33</x:v>
      </x:c>
      <x:c r="T179" s="11" t="n">
        <x:v>32</x:v>
      </x:c>
      <x:c r="U179" s="12" t="n">
        <x:v>85.657</x:v>
      </x:c>
      <x:c r="V179" s="9" t="str">
        <x:v>django/contrib/auth/management/__init__.py</x:v>
      </x:c>
      <x:c r="W179" s="9" t="str"/>
      <x:c r="X179" s="9" t="str">
        <x:v>task_output-wsl/lite-baseline-001/instances/django__django-16400/attempt-0001/state.json
task_output-wsl/lite-baseline-001/instances/django__django-16400/attempt-0001/state.json</x:v>
      </x:c>
      <x:c r="Y179" s="2" t="str">
        <x:v>thinking
text</x:v>
      </x:c>
      <x:c r="Z179" s="11" t="n">
        <x:v>506</x:v>
      </x:c>
      <x:c r="AA179" s="11" t="n">
        <x:v>0</x:v>
      </x:c>
    </x:row>
    <x:row r="180" ht="37" customHeight="1">
      <x:c r="A180" s="2" t="str">
        <x:v>django__django-16527</x:v>
      </x:c>
      <x:c r="B180" s="2" t="str">
        <x:v>django/django</x:v>
      </x:c>
      <x:c r="C180" s="2" t="str">
        <x:v>resolved</x:v>
      </x:c>
      <x:c r="D180" s="2" t="str">
        <x:v>已解决</x:v>
      </x:c>
      <x:c r="E180" s="10" t="str">
        <x:v>gold通过，最新attempt未记录API终止、runner启动失败或评测基础设施终止；不代表原始全套测试零失败。</x:v>
      </x:c>
      <x:c r="F180" s="10" t="str"/>
      <x:c r="G180" s="2" t="str">
        <x:v>通过</x:v>
      </x:c>
      <x:c r="H180" s="2" t="str">
        <x:v>completed</x:v>
      </x:c>
      <x:c r="I180" s="11" t="n">
        <x:v>1</x:v>
      </x:c>
      <x:c r="J180" s="11" t="n">
        <x:v>1</x:v>
      </x:c>
      <x:c r="K180" s="11" t="str">
        <x:v>resolved</x:v>
      </x:c>
      <x:c r="L180" s="11" t="n">
        <x:v>1</x:v>
      </x:c>
      <x:c r="M180" s="11" t="n">
        <x:v>0</x:v>
      </x:c>
      <x:c r="N180" s="11" t="n">
        <x:v>6</x:v>
      </x:c>
      <x:c r="O180" s="11" t="n">
        <x:v>0</x:v>
      </x:c>
      <x:c r="P180" s="11" t="n">
        <x:v>103290</x:v>
      </x:c>
      <x:c r="Q180" s="11" t="n">
        <x:v>103290</x:v>
      </x:c>
      <x:c r="R180" s="11" t="n">
        <x:v>12</x:v>
      </x:c>
      <x:c r="S180" s="11" t="n">
        <x:v>12</x:v>
      </x:c>
      <x:c r="T180" s="11" t="n">
        <x:v>12</x:v>
      </x:c>
      <x:c r="U180" s="12" t="n">
        <x:v>23.913</x:v>
      </x:c>
      <x:c r="V180" s="9" t="str">
        <x:v>django/contrib/admin/templatetags/admin_modify.py</x:v>
      </x:c>
      <x:c r="W180" s="9" t="str"/>
      <x:c r="X180" s="9" t="str">
        <x:v>task_output-wsl/lite-baseline-001/instances/django__django-16527/attempt-0001/state.json
task_output-wsl/lite-baseline-001/instances/django__django-16527/attempt-0001/state.json</x:v>
      </x:c>
      <x:c r="Y180" s="2" t="str">
        <x:v>thinking
text</x:v>
      </x:c>
      <x:c r="Z180" s="11" t="n">
        <x:v>436</x:v>
      </x:c>
      <x:c r="AA180" s="11" t="n">
        <x:v>0</x:v>
      </x:c>
    </x:row>
    <x:row r="181" ht="37" customHeight="1">
      <x:c r="A181" s="2" t="str">
        <x:v>django__django-16595</x:v>
      </x:c>
      <x:c r="B181" s="2" t="str">
        <x:v>django/django</x:v>
      </x:c>
      <x:c r="C181" s="2" t="str">
        <x:v>resolved</x:v>
      </x:c>
      <x:c r="D181" s="2" t="str">
        <x:v>已解决</x:v>
      </x:c>
      <x:c r="E181" s="10" t="str">
        <x:v>gold通过，最新attempt未记录API终止、runner启动失败或评测基础设施终止；不代表原始全套测试零失败。</x:v>
      </x:c>
      <x:c r="F181" s="10" t="str"/>
      <x:c r="G181" s="2" t="str">
        <x:v>通过</x:v>
      </x:c>
      <x:c r="H181" s="2" t="str">
        <x:v>completed</x:v>
      </x:c>
      <x:c r="I181" s="11" t="n">
        <x:v>1</x:v>
      </x:c>
      <x:c r="J181" s="11" t="n">
        <x:v>1</x:v>
      </x:c>
      <x:c r="K181" s="11" t="str">
        <x:v>resolved</x:v>
      </x:c>
      <x:c r="L181" s="11" t="n">
        <x:v>1</x:v>
      </x:c>
      <x:c r="M181" s="11" t="n">
        <x:v>0</x:v>
      </x:c>
      <x:c r="N181" s="11" t="n">
        <x:v>37</x:v>
      </x:c>
      <x:c r="O181" s="11" t="n">
        <x:v>0</x:v>
      </x:c>
      <x:c r="P181" s="11" t="n">
        <x:v>193607</x:v>
      </x:c>
      <x:c r="Q181" s="11" t="n">
        <x:v>193607</x:v>
      </x:c>
      <x:c r="R181" s="11" t="n">
        <x:v>23</x:v>
      </x:c>
      <x:c r="S181" s="11" t="n">
        <x:v>23</x:v>
      </x:c>
      <x:c r="T181" s="11" t="n">
        <x:v>22</x:v>
      </x:c>
      <x:c r="U181" s="12" t="n">
        <x:v>60.729</x:v>
      </x:c>
      <x:c r="V181" s="9" t="str">
        <x:v>django/db/migrations/operations/fields.py</x:v>
      </x:c>
      <x:c r="W181" s="9" t="str"/>
      <x:c r="X181" s="9" t="str">
        <x:v>task_output-wsl/lite-baseline-001/instances/django__django-16595/attempt-0001/state.json
task_output-wsl/lite-baseline-001/instances/django__django-16595/attempt-0001/state.json</x:v>
      </x:c>
      <x:c r="Y181" s="2" t="str">
        <x:v>thinking
text</x:v>
      </x:c>
      <x:c r="Z181" s="11" t="n">
        <x:v>243</x:v>
      </x:c>
      <x:c r="AA181" s="11" t="n">
        <x:v>0</x:v>
      </x:c>
    </x:row>
    <x:row r="182" ht="37" customHeight="1">
      <x:c r="A182" s="2" t="str">
        <x:v>django__django-16873</x:v>
      </x:c>
      <x:c r="B182" s="2" t="str">
        <x:v>django/django</x:v>
      </x:c>
      <x:c r="C182" s="2" t="str">
        <x:v>resolved</x:v>
      </x:c>
      <x:c r="D182" s="2" t="str">
        <x:v>已解决</x:v>
      </x:c>
      <x:c r="E182" s="10" t="str">
        <x:v>gold通过，最新attempt未记录API终止、runner启动失败或评测基础设施终止；不代表原始全套测试零失败。</x:v>
      </x:c>
      <x:c r="F182" s="10" t="str"/>
      <x:c r="G182" s="2" t="str">
        <x:v>通过</x:v>
      </x:c>
      <x:c r="H182" s="2" t="str">
        <x:v>completed</x:v>
      </x:c>
      <x:c r="I182" s="11" t="n">
        <x:v>1</x:v>
      </x:c>
      <x:c r="J182" s="11" t="n">
        <x:v>1</x:v>
      </x:c>
      <x:c r="K182" s="11" t="str">
        <x:v>resolved</x:v>
      </x:c>
      <x:c r="L182" s="11" t="n">
        <x:v>2</x:v>
      </x:c>
      <x:c r="M182" s="11" t="n">
        <x:v>0</x:v>
      </x:c>
      <x:c r="N182" s="11" t="n">
        <x:v>12</x:v>
      </x:c>
      <x:c r="O182" s="11" t="n">
        <x:v>0</x:v>
      </x:c>
      <x:c r="P182" s="11" t="n">
        <x:v>48825</x:v>
      </x:c>
      <x:c r="Q182" s="11" t="n">
        <x:v>48825</x:v>
      </x:c>
      <x:c r="R182" s="11" t="n">
        <x:v>8</x:v>
      </x:c>
      <x:c r="S182" s="11" t="n">
        <x:v>8</x:v>
      </x:c>
      <x:c r="T182" s="11" t="n">
        <x:v>8</x:v>
      </x:c>
      <x:c r="U182" s="12" t="n">
        <x:v>18.638</x:v>
      </x:c>
      <x:c r="V182" s="9" t="str">
        <x:v>django/template/defaultfilters.py</x:v>
      </x:c>
      <x:c r="W182" s="9" t="str"/>
      <x:c r="X182" s="9" t="str">
        <x:v>task_output-wsl/lite-baseline-001/instances/django__django-16873/attempt-0001/state.json
task_output-wsl/lite-baseline-001/instances/django__django-16873/attempt-0001/state.json</x:v>
      </x:c>
      <x:c r="Y182" s="2" t="str">
        <x:v>thinking
text</x:v>
      </x:c>
      <x:c r="Z182" s="11" t="n">
        <x:v>609</x:v>
      </x:c>
      <x:c r="AA182" s="11" t="n">
        <x:v>0</x:v>
      </x:c>
    </x:row>
    <x:row r="183" ht="51" customHeight="1">
      <x:c r="A183" s="2" t="str">
        <x:v>django__django-17051</x:v>
      </x:c>
      <x:c r="B183" s="2" t="str">
        <x:v>django/django</x:v>
      </x:c>
      <x:c r="C183" s="2" t="str">
        <x:v>resolved</x:v>
      </x:c>
      <x:c r="D183" s="2" t="str">
        <x:v>已解决</x:v>
      </x:c>
      <x:c r="E183" s="10" t="str">
        <x:v>gold通过，最新attempt未记录API终止、runner启动失败或评测基础设施终止；不代表原始全套测试零失败。</x:v>
      </x:c>
      <x:c r="F183" s="10" t="str"/>
      <x:c r="G183" s="2" t="str">
        <x:v>通过</x:v>
      </x:c>
      <x:c r="H183" s="2" t="str">
        <x:v>completed</x:v>
      </x:c>
      <x:c r="I183" s="11" t="n">
        <x:v>1</x:v>
      </x:c>
      <x:c r="J183" s="11" t="n">
        <x:v>1</x:v>
      </x:c>
      <x:c r="K183" s="11" t="str">
        <x:v>resolved</x:v>
      </x:c>
      <x:c r="L183" s="11" t="n">
        <x:v>5</x:v>
      </x:c>
      <x:c r="M183" s="11" t="n">
        <x:v>0</x:v>
      </x:c>
      <x:c r="N183" s="11" t="n">
        <x:v>39</x:v>
      </x:c>
      <x:c r="O183" s="11" t="n">
        <x:v>0</x:v>
      </x:c>
      <x:c r="P183" s="11" t="n">
        <x:v>400288</x:v>
      </x:c>
      <x:c r="Q183" s="11" t="n">
        <x:v>400288</x:v>
      </x:c>
      <x:c r="R183" s="11" t="n">
        <x:v>38</x:v>
      </x:c>
      <x:c r="S183" s="11" t="n">
        <x:v>38</x:v>
      </x:c>
      <x:c r="T183" s="11" t="n">
        <x:v>38</x:v>
      </x:c>
      <x:c r="U183" s="12" t="n">
        <x:v>69.336</x:v>
      </x:c>
      <x:c r="V183" s="9" t="str">
        <x:v>django/db/models/query.py
docs/ref/models/querysets.txt
docs/releases/5.0.txt</x:v>
      </x:c>
      <x:c r="W183" s="9" t="str"/>
      <x:c r="X183" s="9" t="str">
        <x:v>task_output-wsl/lite-baseline-001/instances/django__django-17051/attempt-0001/state.json
task_output-wsl/lite-baseline-001/instances/django__django-17051/attempt-0001/state.json</x:v>
      </x:c>
      <x:c r="Y183" s="2" t="str">
        <x:v>thinking
text</x:v>
      </x:c>
      <x:c r="Z183" s="11" t="n">
        <x:v>643</x:v>
      </x:c>
      <x:c r="AA183" s="11" t="n">
        <x:v>0</x:v>
      </x:c>
    </x:row>
    <x:row r="184" ht="37" customHeight="1">
      <x:c r="A184" s="2" t="str">
        <x:v>django__django-17087</x:v>
      </x:c>
      <x:c r="B184" s="2" t="str">
        <x:v>django/django</x:v>
      </x:c>
      <x:c r="C184" s="2" t="str">
        <x:v>resolved</x:v>
      </x:c>
      <x:c r="D184" s="2" t="str">
        <x:v>已解决</x:v>
      </x:c>
      <x:c r="E184" s="10" t="str">
        <x:v>gold通过，最新attempt未记录API终止、runner启动失败或评测基础设施终止；不代表原始全套测试零失败。</x:v>
      </x:c>
      <x:c r="F184" s="10" t="str"/>
      <x:c r="G184" s="2" t="str">
        <x:v>通过</x:v>
      </x:c>
      <x:c r="H184" s="2" t="str">
        <x:v>completed</x:v>
      </x:c>
      <x:c r="I184" s="11" t="n">
        <x:v>1</x:v>
      </x:c>
      <x:c r="J184" s="11" t="n">
        <x:v>1</x:v>
      </x:c>
      <x:c r="K184" s="11" t="str">
        <x:v>resolved</x:v>
      </x:c>
      <x:c r="L184" s="11" t="n">
        <x:v>1</x:v>
      </x:c>
      <x:c r="M184" s="11" t="n">
        <x:v>0</x:v>
      </x:c>
      <x:c r="N184" s="11" t="n">
        <x:v>53</x:v>
      </x:c>
      <x:c r="O184" s="11" t="n">
        <x:v>0</x:v>
      </x:c>
      <x:c r="P184" s="11" t="n">
        <x:v>349298</x:v>
      </x:c>
      <x:c r="Q184" s="11" t="n">
        <x:v>349298</x:v>
      </x:c>
      <x:c r="R184" s="11" t="n">
        <x:v>35</x:v>
      </x:c>
      <x:c r="S184" s="11" t="n">
        <x:v>35</x:v>
      </x:c>
      <x:c r="T184" s="11" t="n">
        <x:v>34</x:v>
      </x:c>
      <x:c r="U184" s="12" t="n">
        <x:v>94.054</x:v>
      </x:c>
      <x:c r="V184" s="9" t="str">
        <x:v>django/db/migrations/serializer.py</x:v>
      </x:c>
      <x:c r="W184" s="9" t="str"/>
      <x:c r="X184" s="9" t="str">
        <x:v>task_output-wsl/lite-baseline-001/instances/django__django-17087/attempt-0001/state.json
task_output-wsl/lite-baseline-001/instances/django__django-17087/attempt-0001/state.json</x:v>
      </x:c>
      <x:c r="Y184" s="2" t="str">
        <x:v>thinking
text</x:v>
      </x:c>
      <x:c r="Z184" s="11" t="n">
        <x:v>227</x:v>
      </x:c>
      <x:c r="AA184" s="11" t="n">
        <x:v>0</x:v>
      </x:c>
    </x:row>
    <x:row r="185" ht="37" customHeight="1">
      <x:c r="A185" s="2" t="str">
        <x:v>matplotlib__matplotlib-18869</x:v>
      </x:c>
      <x:c r="B185" s="2" t="str">
        <x:v>matplotlib/matplotlib</x:v>
      </x:c>
      <x:c r="C185" s="2" t="str">
        <x:v>resolved</x:v>
      </x:c>
      <x:c r="D185" s="2" t="str">
        <x:v>已解决</x:v>
      </x:c>
      <x:c r="E185" s="10" t="str">
        <x:v>gold通过，最新attempt未记录API终止、runner启动失败或评测基础设施终止；不代表原始全套测试零失败。</x:v>
      </x:c>
      <x:c r="F185" s="10" t="str"/>
      <x:c r="G185" s="2" t="str">
        <x:v>通过</x:v>
      </x:c>
      <x:c r="H185" s="2" t="str">
        <x:v>limit</x:v>
      </x:c>
      <x:c r="I185" s="11" t="n">
        <x:v>2</x:v>
      </x:c>
      <x:c r="J185" s="11" t="n">
        <x:v>2</x:v>
      </x:c>
      <x:c r="K185" s="11" t="str">
        <x:v>error</x:v>
      </x:c>
      <x:c r="L185" s="11" t="n">
        <x:v>4</x:v>
      </x:c>
      <x:c r="M185" s="11" t="n">
        <x:v>0</x:v>
      </x:c>
      <x:c r="N185" s="11" t="n">
        <x:v>3</x:v>
      </x:c>
      <x:c r="O185" s="11" t="n">
        <x:v>0</x:v>
      </x:c>
      <x:c r="P185" s="11" t="n">
        <x:v>689616</x:v>
      </x:c>
      <x:c r="Q185" s="11" t="n">
        <x:v>861872</x:v>
      </x:c>
      <x:c r="R185" s="11" t="n">
        <x:v>62</x:v>
      </x:c>
      <x:c r="S185" s="11" t="n">
        <x:v>80</x:v>
      </x:c>
      <x:c r="T185" s="11" t="n">
        <x:v>60</x:v>
      </x:c>
      <x:c r="U185" s="12" t="n">
        <x:v>196.329</x:v>
      </x:c>
      <x:c r="V185" s="9" t="str">
        <x:v>lib/matplotlib/__init__.py</x:v>
      </x:c>
      <x:c r="W185" s="9" t="str"/>
      <x:c r="X185" s="9" t="str">
        <x:v>task_output-wsl/lite-baseline-001/instances/matplotlib__matplotlib-18869/attempt-0002/state.json
task_output-wsl/lite-baseline-001/instances/matplotlib__matplotlib-18869/attempt-0002/state.json</x:v>
      </x:c>
      <x:c r="Y185" s="2" t="str">
        <x:v>thinking
tool_use</x:v>
      </x:c>
      <x:c r="Z185" s="11" t="n">
        <x:v>178</x:v>
      </x:c>
      <x:c r="AA185" s="11" t="n">
        <x:v>0</x:v>
      </x:c>
    </x:row>
    <x:row r="186" ht="37" customHeight="1">
      <x:c r="A186" s="2" t="str">
        <x:v>matplotlib__matplotlib-23314</x:v>
      </x:c>
      <x:c r="B186" s="2" t="str">
        <x:v>matplotlib/matplotlib</x:v>
      </x:c>
      <x:c r="C186" s="2" t="str">
        <x:v>resolved</x:v>
      </x:c>
      <x:c r="D186" s="2" t="str">
        <x:v>已解决</x:v>
      </x:c>
      <x:c r="E186" s="10" t="str">
        <x:v>gold通过，最新attempt未记录API终止、runner启动失败或评测基础设施终止；不代表原始全套测试零失败。</x:v>
      </x:c>
      <x:c r="F186" s="10" t="str"/>
      <x:c r="G186" s="2" t="str">
        <x:v>通过</x:v>
      </x:c>
      <x:c r="H186" s="2" t="str">
        <x:v>completed</x:v>
      </x:c>
      <x:c r="I186" s="11" t="n">
        <x:v>1</x:v>
      </x:c>
      <x:c r="J186" s="11" t="n">
        <x:v>1</x:v>
      </x:c>
      <x:c r="K186" s="11" t="str">
        <x:v>resolved</x:v>
      </x:c>
      <x:c r="L186" s="11" t="n">
        <x:v>1</x:v>
      </x:c>
      <x:c r="M186" s="11" t="n">
        <x:v>0</x:v>
      </x:c>
      <x:c r="N186" s="11" t="n">
        <x:v>862</x:v>
      </x:c>
      <x:c r="O186" s="11" t="n">
        <x:v>0</x:v>
      </x:c>
      <x:c r="P186" s="11" t="n">
        <x:v>91228</x:v>
      </x:c>
      <x:c r="Q186" s="11" t="n">
        <x:v>91228</x:v>
      </x:c>
      <x:c r="R186" s="11" t="n">
        <x:v>14</x:v>
      </x:c>
      <x:c r="S186" s="11" t="n">
        <x:v>14</x:v>
      </x:c>
      <x:c r="T186" s="11" t="n">
        <x:v>14</x:v>
      </x:c>
      <x:c r="U186" s="12" t="n">
        <x:v>55.68</x:v>
      </x:c>
      <x:c r="V186" s="9" t="str">
        <x:v>lib/mpl_toolkits/mplot3d/axes3d.py</x:v>
      </x:c>
      <x:c r="W186" s="9" t="str"/>
      <x:c r="X186" s="9" t="str">
        <x:v>task_output-wsl/lite-baseline-001/instances/matplotlib__matplotlib-23314/attempt-0001/state.json
task_output-wsl/lite-baseline-001/instances/matplotlib__matplotlib-23314/attempt-0001/state.json</x:v>
      </x:c>
      <x:c r="Y186" s="2" t="str">
        <x:v>thinking
text</x:v>
      </x:c>
      <x:c r="Z186" s="11" t="n">
        <x:v>467</x:v>
      </x:c>
      <x:c r="AA186" s="11" t="n">
        <x:v>0</x:v>
      </x:c>
    </x:row>
    <x:row r="187" ht="37" customHeight="1">
      <x:c r="A187" s="2" t="str">
        <x:v>matplotlib__matplotlib-23476</x:v>
      </x:c>
      <x:c r="B187" s="2" t="str">
        <x:v>matplotlib/matplotlib</x:v>
      </x:c>
      <x:c r="C187" s="2" t="str">
        <x:v>resolved</x:v>
      </x:c>
      <x:c r="D187" s="2" t="str">
        <x:v>已解决</x:v>
      </x:c>
      <x:c r="E187" s="10" t="str">
        <x:v>gold通过，最新attempt未记录API终止、runner启动失败或评测基础设施终止；不代表原始全套测试零失败。</x:v>
      </x:c>
      <x:c r="F187" s="10" t="str"/>
      <x:c r="G187" s="2" t="str">
        <x:v>通过</x:v>
      </x:c>
      <x:c r="H187" s="2" t="str">
        <x:v>completed</x:v>
      </x:c>
      <x:c r="I187" s="11" t="n">
        <x:v>1</x:v>
      </x:c>
      <x:c r="J187" s="11" t="n">
        <x:v>1</x:v>
      </x:c>
      <x:c r="K187" s="11" t="str">
        <x:v>resolved</x:v>
      </x:c>
      <x:c r="L187" s="11" t="n">
        <x:v>1</x:v>
      </x:c>
      <x:c r="M187" s="11" t="n">
        <x:v>0</x:v>
      </x:c>
      <x:c r="N187" s="11" t="n">
        <x:v>104</x:v>
      </x:c>
      <x:c r="O187" s="11" t="n">
        <x:v>0</x:v>
      </x:c>
      <x:c r="P187" s="11" t="n">
        <x:v>220668</x:v>
      </x:c>
      <x:c r="Q187" s="11" t="n">
        <x:v>220668</x:v>
      </x:c>
      <x:c r="R187" s="11" t="n">
        <x:v>19</x:v>
      </x:c>
      <x:c r="S187" s="11" t="n">
        <x:v>19</x:v>
      </x:c>
      <x:c r="T187" s="11" t="n">
        <x:v>19</x:v>
      </x:c>
      <x:c r="U187" s="12" t="n">
        <x:v>57.661</x:v>
      </x:c>
      <x:c r="V187" s="9" t="str">
        <x:v>lib/matplotlib/figure.py</x:v>
      </x:c>
      <x:c r="W187" s="9" t="str"/>
      <x:c r="X187" s="9" t="str">
        <x:v>task_output-wsl/lite-baseline-001/instances/matplotlib__matplotlib-23476/attempt-0001/state.json
task_output-wsl/lite-baseline-001/instances/matplotlib__matplotlib-23476/attempt-0001/state.json</x:v>
      </x:c>
      <x:c r="Y187" s="2" t="str">
        <x:v>thinking
text</x:v>
      </x:c>
      <x:c r="Z187" s="11" t="n">
        <x:v>908</x:v>
      </x:c>
      <x:c r="AA187" s="11" t="n">
        <x:v>0</x:v>
      </x:c>
    </x:row>
    <x:row r="188" ht="37" customHeight="1">
      <x:c r="A188" s="2" t="str">
        <x:v>matplotlib__matplotlib-23562</x:v>
      </x:c>
      <x:c r="B188" s="2" t="str">
        <x:v>matplotlib/matplotlib</x:v>
      </x:c>
      <x:c r="C188" s="2" t="str">
        <x:v>resolved</x:v>
      </x:c>
      <x:c r="D188" s="2" t="str">
        <x:v>已解决</x:v>
      </x:c>
      <x:c r="E188" s="10" t="str">
        <x:v>gold通过，最新attempt未记录API终止、runner启动失败或评测基础设施终止；不代表原始全套测试零失败。</x:v>
      </x:c>
      <x:c r="F188" s="10" t="str"/>
      <x:c r="G188" s="2" t="str">
        <x:v>通过</x:v>
      </x:c>
      <x:c r="H188" s="2" t="str">
        <x:v>completed</x:v>
      </x:c>
      <x:c r="I188" s="11" t="n">
        <x:v>1</x:v>
      </x:c>
      <x:c r="J188" s="11" t="n">
        <x:v>1</x:v>
      </x:c>
      <x:c r="K188" s="11" t="str">
        <x:v>resolved</x:v>
      </x:c>
      <x:c r="L188" s="11" t="n">
        <x:v>2</x:v>
      </x:c>
      <x:c r="M188" s="11" t="n">
        <x:v>0</x:v>
      </x:c>
      <x:c r="N188" s="11" t="n">
        <x:v>136</x:v>
      </x:c>
      <x:c r="O188" s="11" t="n">
        <x:v>0</x:v>
      </x:c>
      <x:c r="P188" s="11" t="n">
        <x:v>574151</x:v>
      </x:c>
      <x:c r="Q188" s="11" t="n">
        <x:v>574151</x:v>
      </x:c>
      <x:c r="R188" s="11" t="n">
        <x:v>52</x:v>
      </x:c>
      <x:c r="S188" s="11" t="n">
        <x:v>52</x:v>
      </x:c>
      <x:c r="T188" s="11" t="n">
        <x:v>50</x:v>
      </x:c>
      <x:c r="U188" s="12" t="n">
        <x:v>177.815</x:v>
      </x:c>
      <x:c r="V188" s="9" t="str">
        <x:v>lib/mpl_toolkits/mplot3d/art3d.py</x:v>
      </x:c>
      <x:c r="W188" s="9" t="str"/>
      <x:c r="X188" s="9" t="str">
        <x:v>task_output-wsl/lite-baseline-001/instances/matplotlib__matplotlib-23562/attempt-0001/state.json
task_output-wsl/lite-baseline-001/instances/matplotlib__matplotlib-23562/attempt-0001/state.json</x:v>
      </x:c>
      <x:c r="Y188" s="2" t="str">
        <x:v>thinking
text</x:v>
      </x:c>
      <x:c r="Z188" s="11" t="n">
        <x:v>340</x:v>
      </x:c>
      <x:c r="AA188" s="11" t="n">
        <x:v>0</x:v>
      </x:c>
    </x:row>
    <x:row r="189" ht="37" customHeight="1">
      <x:c r="A189" s="2" t="str">
        <x:v>matplotlib__matplotlib-23964</x:v>
      </x:c>
      <x:c r="B189" s="2" t="str">
        <x:v>matplotlib/matplotlib</x:v>
      </x:c>
      <x:c r="C189" s="2" t="str">
        <x:v>resolved</x:v>
      </x:c>
      <x:c r="D189" s="2" t="str">
        <x:v>已解决</x:v>
      </x:c>
      <x:c r="E189" s="10" t="str">
        <x:v>gold通过，最新attempt未记录API终止、runner启动失败或评测基础设施终止；不代表原始全套测试零失败。</x:v>
      </x:c>
      <x:c r="F189" s="10" t="str"/>
      <x:c r="G189" s="2" t="str">
        <x:v>通过</x:v>
      </x:c>
      <x:c r="H189" s="2" t="str">
        <x:v>completed</x:v>
      </x:c>
      <x:c r="I189" s="11" t="n">
        <x:v>1</x:v>
      </x:c>
      <x:c r="J189" s="11" t="n">
        <x:v>1</x:v>
      </x:c>
      <x:c r="K189" s="11" t="str">
        <x:v>resolved</x:v>
      </x:c>
      <x:c r="L189" s="11" t="n">
        <x:v>1</x:v>
      </x:c>
      <x:c r="M189" s="11" t="n">
        <x:v>0</x:v>
      </x:c>
      <x:c r="N189" s="11" t="n">
        <x:v>16</x:v>
      </x:c>
      <x:c r="O189" s="11" t="n">
        <x:v>0</x:v>
      </x:c>
      <x:c r="P189" s="11" t="n">
        <x:v>54988</x:v>
      </x:c>
      <x:c r="Q189" s="11" t="n">
        <x:v>54988</x:v>
      </x:c>
      <x:c r="R189" s="11" t="n">
        <x:v>8</x:v>
      </x:c>
      <x:c r="S189" s="11" t="n">
        <x:v>8</x:v>
      </x:c>
      <x:c r="T189" s="11" t="n">
        <x:v>8</x:v>
      </x:c>
      <x:c r="U189" s="12" t="n">
        <x:v>26.822</x:v>
      </x:c>
      <x:c r="V189" s="9" t="str">
        <x:v>lib/matplotlib/backends/backend_ps.py</x:v>
      </x:c>
      <x:c r="W189" s="9" t="str"/>
      <x:c r="X189" s="9" t="str">
        <x:v>task_output-wsl/lite-baseline-001/instances/matplotlib__matplotlib-23964/attempt-0001/state.json
task_output-wsl/lite-baseline-001/instances/matplotlib__matplotlib-23964/attempt-0001/state.json</x:v>
      </x:c>
      <x:c r="Y189" s="2" t="str">
        <x:v>thinking
text</x:v>
      </x:c>
      <x:c r="Z189" s="11" t="n">
        <x:v>149</x:v>
      </x:c>
      <x:c r="AA189" s="11" t="n">
        <x:v>0</x:v>
      </x:c>
    </x:row>
    <x:row r="190" ht="37" customHeight="1">
      <x:c r="A190" s="2" t="str">
        <x:v>matplotlib__matplotlib-23987</x:v>
      </x:c>
      <x:c r="B190" s="2" t="str">
        <x:v>matplotlib/matplotlib</x:v>
      </x:c>
      <x:c r="C190" s="2" t="str">
        <x:v>resolved</x:v>
      </x:c>
      <x:c r="D190" s="2" t="str">
        <x:v>已解决</x:v>
      </x:c>
      <x:c r="E190" s="10" t="str">
        <x:v>gold通过，最新attempt未记录API终止、runner启动失败或评测基础设施终止；不代表原始全套测试零失败。</x:v>
      </x:c>
      <x:c r="F190" s="10" t="str"/>
      <x:c r="G190" s="2" t="str">
        <x:v>通过</x:v>
      </x:c>
      <x:c r="H190" s="2" t="str">
        <x:v>completed</x:v>
      </x:c>
      <x:c r="I190" s="11" t="n">
        <x:v>1</x:v>
      </x:c>
      <x:c r="J190" s="11" t="n">
        <x:v>1</x:v>
      </x:c>
      <x:c r="K190" s="11" t="str">
        <x:v>resolved</x:v>
      </x:c>
      <x:c r="L190" s="11" t="n">
        <x:v>1</x:v>
      </x:c>
      <x:c r="M190" s="11" t="n">
        <x:v>0</x:v>
      </x:c>
      <x:c r="N190" s="11" t="n">
        <x:v>43</x:v>
      </x:c>
      <x:c r="O190" s="11" t="n">
        <x:v>0</x:v>
      </x:c>
      <x:c r="P190" s="11" t="n">
        <x:v>120803</x:v>
      </x:c>
      <x:c r="Q190" s="11" t="n">
        <x:v>120803</x:v>
      </x:c>
      <x:c r="R190" s="11" t="n">
        <x:v>13</x:v>
      </x:c>
      <x:c r="S190" s="11" t="n">
        <x:v>13</x:v>
      </x:c>
      <x:c r="T190" s="11" t="n">
        <x:v>13</x:v>
      </x:c>
      <x:c r="U190" s="12" t="n">
        <x:v>49.11</x:v>
      </x:c>
      <x:c r="V190" s="9" t="str">
        <x:v>lib/matplotlib/figure.py</x:v>
      </x:c>
      <x:c r="W190" s="9" t="str"/>
      <x:c r="X190" s="9" t="str">
        <x:v>task_output-wsl/lite-baseline-001/instances/matplotlib__matplotlib-23987/attempt-0001/state.json
task_output-wsl/lite-baseline-001/instances/matplotlib__matplotlib-23987/attempt-0001/state.json</x:v>
      </x:c>
      <x:c r="Y190" s="2" t="str">
        <x:v>thinking
text</x:v>
      </x:c>
      <x:c r="Z190" s="11" t="n">
        <x:v>252</x:v>
      </x:c>
      <x:c r="AA190" s="11" t="n">
        <x:v>0</x:v>
      </x:c>
    </x:row>
    <x:row r="191" ht="37" customHeight="1">
      <x:c r="A191" s="2" t="str">
        <x:v>matplotlib__matplotlib-24149</x:v>
      </x:c>
      <x:c r="B191" s="2" t="str">
        <x:v>matplotlib/matplotlib</x:v>
      </x:c>
      <x:c r="C191" s="2" t="str">
        <x:v>resolved</x:v>
      </x:c>
      <x:c r="D191" s="2" t="str">
        <x:v>已解决</x:v>
      </x:c>
      <x:c r="E191" s="10" t="str">
        <x:v>gold通过，最新attempt未记录API终止、runner启动失败或评测基础设施终止；不代表原始全套测试零失败。</x:v>
      </x:c>
      <x:c r="F191" s="10" t="str"/>
      <x:c r="G191" s="2" t="str">
        <x:v>通过</x:v>
      </x:c>
      <x:c r="H191" s="2" t="str">
        <x:v>completed</x:v>
      </x:c>
      <x:c r="I191" s="11" t="n">
        <x:v>1</x:v>
      </x:c>
      <x:c r="J191" s="11" t="n">
        <x:v>1</x:v>
      </x:c>
      <x:c r="K191" s="11" t="str">
        <x:v>resolved</x:v>
      </x:c>
      <x:c r="L191" s="11" t="n">
        <x:v>1</x:v>
      </x:c>
      <x:c r="M191" s="11" t="n">
        <x:v>0</x:v>
      </x:c>
      <x:c r="N191" s="11" t="n">
        <x:v>767</x:v>
      </x:c>
      <x:c r="O191" s="11" t="n">
        <x:v>0</x:v>
      </x:c>
      <x:c r="P191" s="11" t="n">
        <x:v>131740</x:v>
      </x:c>
      <x:c r="Q191" s="11" t="n">
        <x:v>131740</x:v>
      </x:c>
      <x:c r="R191" s="11" t="n">
        <x:v>13</x:v>
      </x:c>
      <x:c r="S191" s="11" t="n">
        <x:v>13</x:v>
      </x:c>
      <x:c r="T191" s="11" t="n">
        <x:v>13</x:v>
      </x:c>
      <x:c r="U191" s="12" t="n">
        <x:v>82.392</x:v>
      </x:c>
      <x:c r="V191" s="9" t="str">
        <x:v>lib/matplotlib/axes/_axes.py</x:v>
      </x:c>
      <x:c r="W191" s="9" t="str"/>
      <x:c r="X191" s="9" t="str">
        <x:v>task_output-wsl/lite-baseline-001/instances/matplotlib__matplotlib-24149/attempt-0001/state.json
task_output-wsl/lite-baseline-001/instances/matplotlib__matplotlib-24149/attempt-0001/state.json</x:v>
      </x:c>
      <x:c r="Y191" s="2" t="str">
        <x:v>thinking
text</x:v>
      </x:c>
      <x:c r="Z191" s="11" t="n">
        <x:v>283</x:v>
      </x:c>
      <x:c r="AA191" s="11" t="n">
        <x:v>0</x:v>
      </x:c>
    </x:row>
    <x:row r="192" ht="37" customHeight="1">
      <x:c r="A192" s="2" t="str">
        <x:v>matplotlib__matplotlib-24265</x:v>
      </x:c>
      <x:c r="B192" s="2" t="str">
        <x:v>matplotlib/matplotlib</x:v>
      </x:c>
      <x:c r="C192" s="2" t="str">
        <x:v>resolved</x:v>
      </x:c>
      <x:c r="D192" s="2" t="str">
        <x:v>已解决</x:v>
      </x:c>
      <x:c r="E192" s="10" t="str">
        <x:v>gold通过，最新attempt未记录API终止、runner启动失败或评测基础设施终止；不代表原始全套测试零失败。</x:v>
      </x:c>
      <x:c r="F192" s="10" t="str"/>
      <x:c r="G192" s="2" t="str">
        <x:v>通过</x:v>
      </x:c>
      <x:c r="H192" s="2" t="str">
        <x:v>limit</x:v>
      </x:c>
      <x:c r="I192" s="11" t="n">
        <x:v>1</x:v>
      </x:c>
      <x:c r="J192" s="11" t="n">
        <x:v>1</x:v>
      </x:c>
      <x:c r="K192" s="11" t="str">
        <x:v>resolved</x:v>
      </x:c>
      <x:c r="L192" s="11" t="n">
        <x:v>1</x:v>
      </x:c>
      <x:c r="M192" s="11" t="n">
        <x:v>0</x:v>
      </x:c>
      <x:c r="N192" s="11" t="n">
        <x:v>16</x:v>
      </x:c>
      <x:c r="O192" s="11" t="n">
        <x:v>0</x:v>
      </x:c>
      <x:c r="P192" s="11" t="n">
        <x:v>721620</x:v>
      </x:c>
      <x:c r="Q192" s="11" t="n">
        <x:v>721620</x:v>
      </x:c>
      <x:c r="R192" s="11" t="n">
        <x:v>64</x:v>
      </x:c>
      <x:c r="S192" s="11" t="n">
        <x:v>64</x:v>
      </x:c>
      <x:c r="T192" s="11" t="n">
        <x:v>60</x:v>
      </x:c>
      <x:c r="U192" s="12" t="n">
        <x:v>198.956</x:v>
      </x:c>
      <x:c r="V192" s="9" t="str">
        <x:v>lib/matplotlib/style/core.py</x:v>
      </x:c>
      <x:c r="W192" s="9" t="str"/>
      <x:c r="X192" s="9" t="str">
        <x:v>task_output-wsl/lite-baseline-001/instances/matplotlib__matplotlib-24265/attempt-0001/state.json
task_output-wsl/lite-baseline-001/instances/matplotlib__matplotlib-24265/attempt-0001/state.json</x:v>
      </x:c>
      <x:c r="Y192" s="2" t="str">
        <x:v>thinking
tool_use
tool_use</x:v>
      </x:c>
      <x:c r="Z192" s="11" t="n">
        <x:v>874</x:v>
      </x:c>
      <x:c r="AA192" s="11" t="n">
        <x:v>0</x:v>
      </x:c>
    </x:row>
    <x:row r="193" ht="37" customHeight="1">
      <x:c r="A193" s="2" t="str">
        <x:v>matplotlib__matplotlib-24334</x:v>
      </x:c>
      <x:c r="B193" s="2" t="str">
        <x:v>matplotlib/matplotlib</x:v>
      </x:c>
      <x:c r="C193" s="2" t="str">
        <x:v>resolved</x:v>
      </x:c>
      <x:c r="D193" s="2" t="str">
        <x:v>已解决</x:v>
      </x:c>
      <x:c r="E193" s="10" t="str">
        <x:v>gold通过，最新attempt未记录API终止、runner启动失败或评测基础设施终止；不代表原始全套测试零失败。</x:v>
      </x:c>
      <x:c r="F193" s="10" t="str"/>
      <x:c r="G193" s="2" t="str">
        <x:v>通过</x:v>
      </x:c>
      <x:c r="H193" s="2" t="str">
        <x:v>completed</x:v>
      </x:c>
      <x:c r="I193" s="11" t="n">
        <x:v>1</x:v>
      </x:c>
      <x:c r="J193" s="11" t="n">
        <x:v>1</x:v>
      </x:c>
      <x:c r="K193" s="11" t="str">
        <x:v>resolved</x:v>
      </x:c>
      <x:c r="L193" s="11" t="n">
        <x:v>1</x:v>
      </x:c>
      <x:c r="M193" s="11" t="n">
        <x:v>0</x:v>
      </x:c>
      <x:c r="N193" s="11" t="n">
        <x:v>770</x:v>
      </x:c>
      <x:c r="O193" s="11" t="n">
        <x:v>0</x:v>
      </x:c>
      <x:c r="P193" s="11" t="n">
        <x:v>334459</x:v>
      </x:c>
      <x:c r="Q193" s="11" t="n">
        <x:v>334459</x:v>
      </x:c>
      <x:c r="R193" s="11" t="n">
        <x:v>36</x:v>
      </x:c>
      <x:c r="S193" s="11" t="n">
        <x:v>36</x:v>
      </x:c>
      <x:c r="T193" s="11" t="n">
        <x:v>35</x:v>
      </x:c>
      <x:c r="U193" s="12" t="n">
        <x:v>162.69</x:v>
      </x:c>
      <x:c r="V193" s="9" t="str">
        <x:v>lib/matplotlib/axis.py</x:v>
      </x:c>
      <x:c r="W193" s="9" t="str"/>
      <x:c r="X193" s="9" t="str">
        <x:v>task_output-wsl/lite-baseline-001/instances/matplotlib__matplotlib-24334/attempt-0001/state.json
task_output-wsl/lite-baseline-001/instances/matplotlib__matplotlib-24334/attempt-0001/state.json</x:v>
      </x:c>
      <x:c r="Y193" s="2" t="str">
        <x:v>thinking
text</x:v>
      </x:c>
      <x:c r="Z193" s="11" t="n">
        <x:v>320</x:v>
      </x:c>
      <x:c r="AA193" s="11" t="n">
        <x:v>0</x:v>
      </x:c>
    </x:row>
    <x:row r="194" ht="37" customHeight="1">
      <x:c r="A194" s="2" t="str">
        <x:v>matplotlib__matplotlib-24970</x:v>
      </x:c>
      <x:c r="B194" s="2" t="str">
        <x:v>matplotlib/matplotlib</x:v>
      </x:c>
      <x:c r="C194" s="2" t="str">
        <x:v>resolved</x:v>
      </x:c>
      <x:c r="D194" s="2" t="str">
        <x:v>已解决</x:v>
      </x:c>
      <x:c r="E194" s="10" t="str">
        <x:v>gold通过，最新attempt未记录API终止、runner启动失败或评测基础设施终止；不代表原始全套测试零失败。</x:v>
      </x:c>
      <x:c r="F194" s="10" t="str"/>
      <x:c r="G194" s="2" t="str">
        <x:v>通过</x:v>
      </x:c>
      <x:c r="H194" s="2" t="str">
        <x:v>completed</x:v>
      </x:c>
      <x:c r="I194" s="11" t="n">
        <x:v>1</x:v>
      </x:c>
      <x:c r="J194" s="11" t="n">
        <x:v>1</x:v>
      </x:c>
      <x:c r="K194" s="11" t="str">
        <x:v>resolved</x:v>
      </x:c>
      <x:c r="L194" s="11" t="n">
        <x:v>1</x:v>
      </x:c>
      <x:c r="M194" s="11" t="n">
        <x:v>0</x:v>
      </x:c>
      <x:c r="N194" s="11" t="n">
        <x:v>253</x:v>
      </x:c>
      <x:c r="O194" s="11" t="n">
        <x:v>0</x:v>
      </x:c>
      <x:c r="P194" s="11" t="n">
        <x:v>168877</x:v>
      </x:c>
      <x:c r="Q194" s="11" t="n">
        <x:v>168877</x:v>
      </x:c>
      <x:c r="R194" s="11" t="n">
        <x:v>16</x:v>
      </x:c>
      <x:c r="S194" s="11" t="n">
        <x:v>16</x:v>
      </x:c>
      <x:c r="T194" s="11" t="n">
        <x:v>16</x:v>
      </x:c>
      <x:c r="U194" s="12" t="n">
        <x:v>73.445</x:v>
      </x:c>
      <x:c r="V194" s="9" t="str">
        <x:v>lib/matplotlib/colors.py</x:v>
      </x:c>
      <x:c r="W194" s="9" t="str"/>
      <x:c r="X194" s="9" t="str">
        <x:v>task_output-wsl/lite-baseline-001/instances/matplotlib__matplotlib-24970/attempt-0001/state.json
task_output-wsl/lite-baseline-001/instances/matplotlib__matplotlib-24970/attempt-0001/state.json</x:v>
      </x:c>
      <x:c r="Y194" s="2" t="str">
        <x:v>thinking
text</x:v>
      </x:c>
      <x:c r="Z194" s="11" t="n">
        <x:v>663</x:v>
      </x:c>
      <x:c r="AA194" s="11" t="n">
        <x:v>0</x:v>
      </x:c>
    </x:row>
    <x:row r="195" ht="37" customHeight="1">
      <x:c r="A195" s="2" t="str">
        <x:v>matplotlib__matplotlib-25079</x:v>
      </x:c>
      <x:c r="B195" s="2" t="str">
        <x:v>matplotlib/matplotlib</x:v>
      </x:c>
      <x:c r="C195" s="2" t="str">
        <x:v>resolved</x:v>
      </x:c>
      <x:c r="D195" s="2" t="str">
        <x:v>已解决</x:v>
      </x:c>
      <x:c r="E195" s="10" t="str">
        <x:v>模型API流式连接提前关闭（incomplete chunked read），agent以error结束。已有补丁仍通过官方目标测试，未损失最终resolved。</x:v>
      </x:c>
      <x:c r="F195" s="10" t="str"/>
      <x:c r="G195" s="2" t="str">
        <x:v>通过</x:v>
      </x:c>
      <x:c r="H195" s="2" t="str">
        <x:v>error</x:v>
      </x:c>
      <x:c r="I195" s="11" t="n">
        <x:v>1</x:v>
      </x:c>
      <x:c r="J195" s="11" t="n">
        <x:v>1</x:v>
      </x:c>
      <x:c r="K195" s="11" t="str">
        <x:v>resolved</x:v>
      </x:c>
      <x:c r="L195" s="11" t="n">
        <x:v>1</x:v>
      </x:c>
      <x:c r="M195" s="11" t="n">
        <x:v>0</x:v>
      </x:c>
      <x:c r="N195" s="11" t="n">
        <x:v>253</x:v>
      </x:c>
      <x:c r="O195" s="11" t="n">
        <x:v>0</x:v>
      </x:c>
      <x:c r="P195" s="11" t="n">
        <x:v>590550</x:v>
      </x:c>
      <x:c r="Q195" s="11" t="n">
        <x:v>590550</x:v>
      </x:c>
      <x:c r="R195" s="11" t="n">
        <x:v>50</x:v>
      </x:c>
      <x:c r="S195" s="11" t="n">
        <x:v>50</x:v>
      </x:c>
      <x:c r="T195" s="11" t="n">
        <x:v>48</x:v>
      </x:c>
      <x:c r="U195" s="12" t="n">
        <x:v>278.868</x:v>
      </x:c>
      <x:c r="V195" s="9" t="str">
        <x:v>lib/matplotlib/colors.py</x:v>
      </x:c>
      <x:c r="W195" s="9" t="str"/>
      <x:c r="X195" s="9" t="str">
        <x:v>task_output-wsl/lite-baseline-001/instances/matplotlib__matplotlib-25079/attempt-0001/state.json
task_output-wsl/lite-baseline-001/instances/matplotlib__matplotlib-25079/attempt-0001/state.json</x:v>
      </x:c>
      <x:c r="Y195" s="2" t="str">
        <x:v>thinking
tool_use
tool_use</x:v>
      </x:c>
      <x:c r="Z195" s="11" t="n">
        <x:v>186</x:v>
      </x:c>
      <x:c r="AA195" s="11" t="n">
        <x:v>0</x:v>
      </x:c>
    </x:row>
    <x:row r="196" ht="37" customHeight="1">
      <x:c r="A196" s="2" t="str">
        <x:v>matplotlib__matplotlib-25311</x:v>
      </x:c>
      <x:c r="B196" s="2" t="str">
        <x:v>matplotlib/matplotlib</x:v>
      </x:c>
      <x:c r="C196" s="2" t="str">
        <x:v>resolved</x:v>
      </x:c>
      <x:c r="D196" s="2" t="str">
        <x:v>已解决</x:v>
      </x:c>
      <x:c r="E196" s="10" t="str">
        <x:v>gold通过，最新attempt未记录API终止、runner启动失败或评测基础设施终止；不代表原始全套测试零失败。</x:v>
      </x:c>
      <x:c r="F196" s="10" t="str"/>
      <x:c r="G196" s="2" t="str">
        <x:v>通过</x:v>
      </x:c>
      <x:c r="H196" s="2" t="str">
        <x:v>completed</x:v>
      </x:c>
      <x:c r="I196" s="11" t="n">
        <x:v>1</x:v>
      </x:c>
      <x:c r="J196" s="11" t="n">
        <x:v>1</x:v>
      </x:c>
      <x:c r="K196" s="11" t="str">
        <x:v>resolved</x:v>
      </x:c>
      <x:c r="L196" s="11" t="n">
        <x:v>1</x:v>
      </x:c>
      <x:c r="M196" s="11" t="n">
        <x:v>0</x:v>
      </x:c>
      <x:c r="N196" s="11" t="n">
        <x:v>181</x:v>
      </x:c>
      <x:c r="O196" s="11" t="n">
        <x:v>0</x:v>
      </x:c>
      <x:c r="P196" s="11" t="n">
        <x:v>190757</x:v>
      </x:c>
      <x:c r="Q196" s="11" t="n">
        <x:v>190757</x:v>
      </x:c>
      <x:c r="R196" s="11" t="n">
        <x:v>19</x:v>
      </x:c>
      <x:c r="S196" s="11" t="n">
        <x:v>19</x:v>
      </x:c>
      <x:c r="T196" s="11" t="n">
        <x:v>19</x:v>
      </x:c>
      <x:c r="U196" s="12" t="n">
        <x:v>67.17</x:v>
      </x:c>
      <x:c r="V196" s="9" t="str">
        <x:v>lib/matplotlib/offsetbox.py</x:v>
      </x:c>
      <x:c r="W196" s="9" t="str"/>
      <x:c r="X196" s="9" t="str">
        <x:v>task_output-wsl/lite-baseline-001/instances/matplotlib__matplotlib-25311/attempt-0001/state.json
task_output-wsl/lite-baseline-001/instances/matplotlib__matplotlib-25311/attempt-0001/state.json</x:v>
      </x:c>
      <x:c r="Y196" s="2" t="str">
        <x:v>thinking
text</x:v>
      </x:c>
      <x:c r="Z196" s="11" t="n">
        <x:v>258</x:v>
      </x:c>
      <x:c r="AA196" s="11" t="n">
        <x:v>0</x:v>
      </x:c>
    </x:row>
    <x:row r="197" ht="37" customHeight="1">
      <x:c r="A197" s="2" t="str">
        <x:v>matplotlib__matplotlib-25433</x:v>
      </x:c>
      <x:c r="B197" s="2" t="str">
        <x:v>matplotlib/matplotlib</x:v>
      </x:c>
      <x:c r="C197" s="2" t="str">
        <x:v>resolved</x:v>
      </x:c>
      <x:c r="D197" s="2" t="str">
        <x:v>已解决</x:v>
      </x:c>
      <x:c r="E197" s="10" t="str">
        <x:v>gold通过，最新attempt未记录API终止、runner启动失败或评测基础设施终止；不代表原始全套测试零失败。</x:v>
      </x:c>
      <x:c r="F197" s="10" t="str"/>
      <x:c r="G197" s="2" t="str">
        <x:v>通过</x:v>
      </x:c>
      <x:c r="H197" s="2" t="str">
        <x:v>limit</x:v>
      </x:c>
      <x:c r="I197" s="11" t="n">
        <x:v>1</x:v>
      </x:c>
      <x:c r="J197" s="11" t="n">
        <x:v>1</x:v>
      </x:c>
      <x:c r="K197" s="11" t="str">
        <x:v>resolved</x:v>
      </x:c>
      <x:c r="L197" s="11" t="n">
        <x:v>1</x:v>
      </x:c>
      <x:c r="M197" s="11" t="n">
        <x:v>0</x:v>
      </x:c>
      <x:c r="N197" s="11" t="n">
        <x:v>55</x:v>
      </x:c>
      <x:c r="O197" s="11" t="n">
        <x:v>0</x:v>
      </x:c>
      <x:c r="P197" s="11" t="n">
        <x:v>760559</x:v>
      </x:c>
      <x:c r="Q197" s="11" t="n">
        <x:v>760559</x:v>
      </x:c>
      <x:c r="R197" s="11" t="n">
        <x:v>61</x:v>
      </x:c>
      <x:c r="S197" s="11" t="n">
        <x:v>61</x:v>
      </x:c>
      <x:c r="T197" s="11" t="n">
        <x:v>60</x:v>
      </x:c>
      <x:c r="U197" s="12" t="n">
        <x:v>256.642</x:v>
      </x:c>
      <x:c r="V197" s="9" t="str">
        <x:v>lib/matplotlib/axes/_base.py
lib/matplotlib/figure.py</x:v>
      </x:c>
      <x:c r="W197" s="9" t="str"/>
      <x:c r="X197" s="9" t="str">
        <x:v>task_output-wsl/lite-baseline-001/instances/matplotlib__matplotlib-25433/attempt-0001/state.json
task_output-wsl/lite-baseline-001/instances/matplotlib__matplotlib-25433/attempt-0001/state.json</x:v>
      </x:c>
      <x:c r="Y197" s="2" t="str">
        <x:v>thinking
tool_use</x:v>
      </x:c>
      <x:c r="Z197" s="11" t="n">
        <x:v>68</x:v>
      </x:c>
      <x:c r="AA197" s="11" t="n">
        <x:v>0</x:v>
      </x:c>
    </x:row>
    <x:row r="198" ht="37" customHeight="1">
      <x:c r="A198" s="2" t="str">
        <x:v>matplotlib__matplotlib-25442</x:v>
      </x:c>
      <x:c r="B198" s="2" t="str">
        <x:v>matplotlib/matplotlib</x:v>
      </x:c>
      <x:c r="C198" s="2" t="str">
        <x:v>resolved</x:v>
      </x:c>
      <x:c r="D198" s="2" t="str">
        <x:v>已解决</x:v>
      </x:c>
      <x:c r="E198" s="10" t="str">
        <x:v>gold通过，最新attempt未记录API终止、runner启动失败或评测基础设施终止；不代表原始全套测试零失败。</x:v>
      </x:c>
      <x:c r="F198" s="10" t="str"/>
      <x:c r="G198" s="2" t="str">
        <x:v>通过</x:v>
      </x:c>
      <x:c r="H198" s="2" t="str">
        <x:v>completed</x:v>
      </x:c>
      <x:c r="I198" s="11" t="n">
        <x:v>1</x:v>
      </x:c>
      <x:c r="J198" s="11" t="n">
        <x:v>1</x:v>
      </x:c>
      <x:c r="K198" s="11" t="str">
        <x:v>resolved</x:v>
      </x:c>
      <x:c r="L198" s="11" t="n">
        <x:v>1</x:v>
      </x:c>
      <x:c r="M198" s="11" t="n">
        <x:v>0</x:v>
      </x:c>
      <x:c r="N198" s="11" t="n">
        <x:v>275</x:v>
      </x:c>
      <x:c r="O198" s="11" t="n">
        <x:v>0</x:v>
      </x:c>
      <x:c r="P198" s="11" t="n">
        <x:v>572631</x:v>
      </x:c>
      <x:c r="Q198" s="11" t="n">
        <x:v>572631</x:v>
      </x:c>
      <x:c r="R198" s="11" t="n">
        <x:v>52</x:v>
      </x:c>
      <x:c r="S198" s="11" t="n">
        <x:v>52</x:v>
      </x:c>
      <x:c r="T198" s="11" t="n">
        <x:v>50</x:v>
      </x:c>
      <x:c r="U198" s="12" t="n">
        <x:v>182.721</x:v>
      </x:c>
      <x:c r="V198" s="9" t="str">
        <x:v>lib/matplotlib/offsetbox.py
lib/matplotlib/tests/test_offsetbox.py</x:v>
      </x:c>
      <x:c r="W198" s="9" t="str"/>
      <x:c r="X198" s="9" t="str">
        <x:v>task_output-wsl/lite-baseline-001/instances/matplotlib__matplotlib-25442/attempt-0001/state.json
task_output-wsl/lite-baseline-001/instances/matplotlib__matplotlib-25442/attempt-0001/state.json</x:v>
      </x:c>
      <x:c r="Y198" s="2" t="str">
        <x:v>thinking
text</x:v>
      </x:c>
      <x:c r="Z198" s="11" t="n">
        <x:v>430</x:v>
      </x:c>
      <x:c r="AA198" s="11" t="n">
        <x:v>0</x:v>
      </x:c>
    </x:row>
    <x:row r="199" ht="37" customHeight="1">
      <x:c r="A199" s="2" t="str">
        <x:v>matplotlib__matplotlib-25498</x:v>
      </x:c>
      <x:c r="B199" s="2" t="str">
        <x:v>matplotlib/matplotlib</x:v>
      </x:c>
      <x:c r="C199" s="2" t="str">
        <x:v>resolved</x:v>
      </x:c>
      <x:c r="D199" s="2" t="str">
        <x:v>已解决</x:v>
      </x:c>
      <x:c r="E199" s="10" t="str">
        <x:v>gold通过，最新attempt未记录API终止、runner启动失败或评测基础设施终止；不代表原始全套测试零失败。</x:v>
      </x:c>
      <x:c r="F199" s="10" t="str"/>
      <x:c r="G199" s="2" t="str">
        <x:v>通过</x:v>
      </x:c>
      <x:c r="H199" s="2" t="str">
        <x:v>completed</x:v>
      </x:c>
      <x:c r="I199" s="11" t="n">
        <x:v>1</x:v>
      </x:c>
      <x:c r="J199" s="11" t="n">
        <x:v>1</x:v>
      </x:c>
      <x:c r="K199" s="11" t="str">
        <x:v>resolved</x:v>
      </x:c>
      <x:c r="L199" s="11" t="n">
        <x:v>1</x:v>
      </x:c>
      <x:c r="M199" s="11" t="n">
        <x:v>0</x:v>
      </x:c>
      <x:c r="N199" s="11" t="n">
        <x:v>69</x:v>
      </x:c>
      <x:c r="O199" s="11" t="n">
        <x:v>0</x:v>
      </x:c>
      <x:c r="P199" s="11" t="n">
        <x:v>313280</x:v>
      </x:c>
      <x:c r="Q199" s="11" t="n">
        <x:v>313280</x:v>
      </x:c>
      <x:c r="R199" s="11" t="n">
        <x:v>28</x:v>
      </x:c>
      <x:c r="S199" s="11" t="n">
        <x:v>28</x:v>
      </x:c>
      <x:c r="T199" s="11" t="n">
        <x:v>27</x:v>
      </x:c>
      <x:c r="U199" s="12" t="n">
        <x:v>112.714</x:v>
      </x:c>
      <x:c r="V199" s="9" t="str">
        <x:v>lib/matplotlib/colorbar.py</x:v>
      </x:c>
      <x:c r="W199" s="9" t="str"/>
      <x:c r="X199" s="9" t="str">
        <x:v>task_output-wsl/lite-baseline-001/instances/matplotlib__matplotlib-25498/attempt-0001/state.json
task_output-wsl/lite-baseline-001/instances/matplotlib__matplotlib-25498/attempt-0001/state.json</x:v>
      </x:c>
      <x:c r="Y199" s="2" t="str">
        <x:v>thinking
text</x:v>
      </x:c>
      <x:c r="Z199" s="11" t="n">
        <x:v>422</x:v>
      </x:c>
      <x:c r="AA199" s="11" t="n">
        <x:v>0</x:v>
      </x:c>
    </x:row>
    <x:row r="200" ht="37" customHeight="1">
      <x:c r="A200" s="2" t="str">
        <x:v>matplotlib__matplotlib-26011</x:v>
      </x:c>
      <x:c r="B200" s="2" t="str">
        <x:v>matplotlib/matplotlib</x:v>
      </x:c>
      <x:c r="C200" s="2" t="str">
        <x:v>resolved</x:v>
      </x:c>
      <x:c r="D200" s="2" t="str">
        <x:v>已解决</x:v>
      </x:c>
      <x:c r="E200" s="10" t="str">
        <x:v>gold通过，最新attempt未记录API终止、runner启动失败或评测基础设施终止；不代表原始全套测试零失败。</x:v>
      </x:c>
      <x:c r="F200" s="10" t="str"/>
      <x:c r="G200" s="2" t="str">
        <x:v>通过</x:v>
      </x:c>
      <x:c r="H200" s="2" t="str">
        <x:v>completed</x:v>
      </x:c>
      <x:c r="I200" s="11" t="n">
        <x:v>1</x:v>
      </x:c>
      <x:c r="J200" s="11" t="n">
        <x:v>1</x:v>
      </x:c>
      <x:c r="K200" s="11" t="str">
        <x:v>resolved</x:v>
      </x:c>
      <x:c r="L200" s="11" t="n">
        <x:v>1</x:v>
      </x:c>
      <x:c r="M200" s="11" t="n">
        <x:v>0</x:v>
      </x:c>
      <x:c r="N200" s="11" t="n">
        <x:v>817</x:v>
      </x:c>
      <x:c r="O200" s="11" t="n">
        <x:v>0</x:v>
      </x:c>
      <x:c r="P200" s="11" t="n">
        <x:v>457750</x:v>
      </x:c>
      <x:c r="Q200" s="11" t="n">
        <x:v>457750</x:v>
      </x:c>
      <x:c r="R200" s="11" t="n">
        <x:v>42</x:v>
      </x:c>
      <x:c r="S200" s="11" t="n">
        <x:v>42</x:v>
      </x:c>
      <x:c r="T200" s="11" t="n">
        <x:v>41</x:v>
      </x:c>
      <x:c r="U200" s="12" t="n">
        <x:v>171.175</x:v>
      </x:c>
      <x:c r="V200" s="9" t="str">
        <x:v>lib/matplotlib/axis.py</x:v>
      </x:c>
      <x:c r="W200" s="9" t="str"/>
      <x:c r="X200" s="9" t="str">
        <x:v>task_output-wsl/lite-baseline-001/instances/matplotlib__matplotlib-26011/attempt-0001/state.json
task_output-wsl/lite-baseline-001/instances/matplotlib__matplotlib-26011/attempt-0001/state.json</x:v>
      </x:c>
      <x:c r="Y200" s="2" t="str">
        <x:v>thinking
text</x:v>
      </x:c>
      <x:c r="Z200" s="11" t="n">
        <x:v>260</x:v>
      </x:c>
      <x:c r="AA200" s="11" t="n">
        <x:v>0</x:v>
      </x:c>
    </x:row>
    <x:row r="201" ht="37" customHeight="1">
      <x:c r="A201" s="2" t="str">
        <x:v>matplotlib__matplotlib-26020</x:v>
      </x:c>
      <x:c r="B201" s="2" t="str">
        <x:v>matplotlib/matplotlib</x:v>
      </x:c>
      <x:c r="C201" s="2" t="str">
        <x:v>resolved</x:v>
      </x:c>
      <x:c r="D201" s="2" t="str">
        <x:v>已解决</x:v>
      </x:c>
      <x:c r="E201" s="10" t="str">
        <x:v>gold通过，最新attempt未记录API终止、runner启动失败或评测基础设施终止；不代表原始全套测试零失败。</x:v>
      </x:c>
      <x:c r="F201" s="10" t="str"/>
      <x:c r="G201" s="2" t="str">
        <x:v>通过</x:v>
      </x:c>
      <x:c r="H201" s="2" t="str">
        <x:v>completed</x:v>
      </x:c>
      <x:c r="I201" s="11" t="n">
        <x:v>1</x:v>
      </x:c>
      <x:c r="J201" s="11" t="n">
        <x:v>1</x:v>
      </x:c>
      <x:c r="K201" s="11" t="str">
        <x:v>resolved</x:v>
      </x:c>
      <x:c r="L201" s="11" t="n">
        <x:v>1</x:v>
      </x:c>
      <x:c r="M201" s="11" t="n">
        <x:v>0</x:v>
      </x:c>
      <x:c r="N201" s="11" t="n">
        <x:v>48</x:v>
      </x:c>
      <x:c r="O201" s="11" t="n">
        <x:v>0</x:v>
      </x:c>
      <x:c r="P201" s="11" t="n">
        <x:v>707073</x:v>
      </x:c>
      <x:c r="Q201" s="11" t="n">
        <x:v>707073</x:v>
      </x:c>
      <x:c r="R201" s="11" t="n">
        <x:v>54</x:v>
      </x:c>
      <x:c r="S201" s="11" t="n">
        <x:v>54</x:v>
      </x:c>
      <x:c r="T201" s="11" t="n">
        <x:v>50</x:v>
      </x:c>
      <x:c r="U201" s="12" t="n">
        <x:v>168.983</x:v>
      </x:c>
      <x:c r="V201" s="9" t="str">
        <x:v>lib/mpl_toolkits/axes_grid1/axes_grid.py</x:v>
      </x:c>
      <x:c r="W201" s="9" t="str"/>
      <x:c r="X201" s="9" t="str">
        <x:v>task_output-wsl/lite-baseline-001/instances/matplotlib__matplotlib-26020/attempt-0001/state.json
task_output-wsl/lite-baseline-001/instances/matplotlib__matplotlib-26020/attempt-0001/state.json</x:v>
      </x:c>
      <x:c r="Y201" s="2" t="str">
        <x:v>thinking
text</x:v>
      </x:c>
      <x:c r="Z201" s="11" t="n">
        <x:v>337</x:v>
      </x:c>
      <x:c r="AA201" s="11" t="n">
        <x:v>0</x:v>
      </x:c>
    </x:row>
    <x:row r="202" ht="37" customHeight="1">
      <x:c r="A202" s="2" t="str">
        <x:v>mwaskom__seaborn-3010</x:v>
      </x:c>
      <x:c r="B202" s="2" t="str">
        <x:v>mwaskom/seaborn</x:v>
      </x:c>
      <x:c r="C202" s="2" t="str">
        <x:v>resolved</x:v>
      </x:c>
      <x:c r="D202" s="2" t="str">
        <x:v>已解决</x:v>
      </x:c>
      <x:c r="E202" s="10" t="str">
        <x:v>gold通过，最新attempt未记录API终止、runner启动失败或评测基础设施终止；不代表原始全套测试零失败。</x:v>
      </x:c>
      <x:c r="F202" s="10" t="str"/>
      <x:c r="G202" s="2" t="str">
        <x:v>通过</x:v>
      </x:c>
      <x:c r="H202" s="2" t="str">
        <x:v>completed</x:v>
      </x:c>
      <x:c r="I202" s="11" t="n">
        <x:v>1</x:v>
      </x:c>
      <x:c r="J202" s="11" t="n">
        <x:v>1</x:v>
      </x:c>
      <x:c r="K202" s="11" t="str">
        <x:v>resolved</x:v>
      </x:c>
      <x:c r="L202" s="11" t="n">
        <x:v>1</x:v>
      </x:c>
      <x:c r="M202" s="11" t="n">
        <x:v>0</x:v>
      </x:c>
      <x:c r="N202" s="11" t="n">
        <x:v>2</x:v>
      </x:c>
      <x:c r="O202" s="11" t="n">
        <x:v>0</x:v>
      </x:c>
      <x:c r="P202" s="11" t="n">
        <x:v>391295</x:v>
      </x:c>
      <x:c r="Q202" s="11" t="n">
        <x:v>391295</x:v>
      </x:c>
      <x:c r="R202" s="11" t="n">
        <x:v>37</x:v>
      </x:c>
      <x:c r="S202" s="11" t="n">
        <x:v>37</x:v>
      </x:c>
      <x:c r="T202" s="11" t="n">
        <x:v>35</x:v>
      </x:c>
      <x:c r="U202" s="12" t="n">
        <x:v>121.366</x:v>
      </x:c>
      <x:c r="V202" s="9" t="str">
        <x:v>seaborn/_stats/regression.py</x:v>
      </x:c>
      <x:c r="W202" s="9" t="str"/>
      <x:c r="X202" s="9" t="str">
        <x:v>task_output-wsl/lite-baseline-001/instances/mwaskom__seaborn-3010/attempt-0001/state.json
task_output-wsl/lite-baseline-001/instances/mwaskom__seaborn-3010/attempt-0001/state.json</x:v>
      </x:c>
      <x:c r="Y202" s="2" t="str">
        <x:v>thinking
text</x:v>
      </x:c>
      <x:c r="Z202" s="11" t="n">
        <x:v>517</x:v>
      </x:c>
      <x:c r="AA202" s="11" t="n">
        <x:v>0</x:v>
      </x:c>
    </x:row>
    <x:row r="203" ht="37" customHeight="1">
      <x:c r="A203" s="2" t="str">
        <x:v>mwaskom__seaborn-3190</x:v>
      </x:c>
      <x:c r="B203" s="2" t="str">
        <x:v>mwaskom/seaborn</x:v>
      </x:c>
      <x:c r="C203" s="2" t="str">
        <x:v>resolved</x:v>
      </x:c>
      <x:c r="D203" s="2" t="str">
        <x:v>已解决</x:v>
      </x:c>
      <x:c r="E203" s="10" t="str">
        <x:v>gold通过，最新attempt未记录API终止、runner启动失败或评测基础设施终止；不代表原始全套测试零失败。</x:v>
      </x:c>
      <x:c r="F203" s="10" t="str"/>
      <x:c r="G203" s="2" t="str">
        <x:v>通过</x:v>
      </x:c>
      <x:c r="H203" s="2" t="str">
        <x:v>limit</x:v>
      </x:c>
      <x:c r="I203" s="11" t="n">
        <x:v>1</x:v>
      </x:c>
      <x:c r="J203" s="11" t="n">
        <x:v>1</x:v>
      </x:c>
      <x:c r="K203" s="11" t="str">
        <x:v>resolved</x:v>
      </x:c>
      <x:c r="L203" s="11" t="n">
        <x:v>1</x:v>
      </x:c>
      <x:c r="M203" s="11" t="n">
        <x:v>0</x:v>
      </x:c>
      <x:c r="N203" s="11" t="n">
        <x:v>84</x:v>
      </x:c>
      <x:c r="O203" s="11" t="n">
        <x:v>0</x:v>
      </x:c>
      <x:c r="P203" s="11" t="n">
        <x:v>695217</x:v>
      </x:c>
      <x:c r="Q203" s="11" t="n">
        <x:v>695217</x:v>
      </x:c>
      <x:c r="R203" s="11" t="n">
        <x:v>63</x:v>
      </x:c>
      <x:c r="S203" s="11" t="n">
        <x:v>63</x:v>
      </x:c>
      <x:c r="T203" s="11" t="n">
        <x:v>60</x:v>
      </x:c>
      <x:c r="U203" s="12" t="n">
        <x:v>170.447</x:v>
      </x:c>
      <x:c r="V203" s="9" t="str">
        <x:v>seaborn/_core/scales.py</x:v>
      </x:c>
      <x:c r="W203" s="9" t="str"/>
      <x:c r="X203" s="9" t="str">
        <x:v>task_output-wsl/lite-baseline-001/instances/mwaskom__seaborn-3190/attempt-0001/state.json
task_output-wsl/lite-baseline-001/instances/mwaskom__seaborn-3190/attempt-0001/state.json</x:v>
      </x:c>
      <x:c r="Y203" s="2" t="str">
        <x:v>thinking
tool_use</x:v>
      </x:c>
      <x:c r="Z203" s="11" t="n">
        <x:v>794</x:v>
      </x:c>
      <x:c r="AA203" s="11" t="n">
        <x:v>0</x:v>
      </x:c>
    </x:row>
    <x:row r="204" ht="51" customHeight="1">
      <x:c r="A204" s="2" t="str">
        <x:v>pallets__flask-4992</x:v>
      </x:c>
      <x:c r="B204" s="2" t="str">
        <x:v>pallets/flask</x:v>
      </x:c>
      <x:c r="C204" s="2" t="str">
        <x:v>resolved</x:v>
      </x:c>
      <x:c r="D204" s="2" t="str">
        <x:v>已解决</x:v>
      </x:c>
      <x:c r="E204" s="10" t="str">
        <x:v>gold通过，最新attempt未记录API终止、runner启动失败或评测基础设施终止；不代表原始全套测试零失败。</x:v>
      </x:c>
      <x:c r="F204" s="10" t="str"/>
      <x:c r="G204" s="2" t="str">
        <x:v>通过</x:v>
      </x:c>
      <x:c r="H204" s="2" t="str">
        <x:v>completed</x:v>
      </x:c>
      <x:c r="I204" s="11" t="n">
        <x:v>1</x:v>
      </x:c>
      <x:c r="J204" s="11" t="n">
        <x:v>1</x:v>
      </x:c>
      <x:c r="K204" s="11" t="str">
        <x:v>resolved</x:v>
      </x:c>
      <x:c r="L204" s="11" t="n">
        <x:v>1</x:v>
      </x:c>
      <x:c r="M204" s="11" t="n">
        <x:v>0</x:v>
      </x:c>
      <x:c r="N204" s="11" t="n">
        <x:v>18</x:v>
      </x:c>
      <x:c r="O204" s="11" t="n">
        <x:v>0</x:v>
      </x:c>
      <x:c r="P204" s="11" t="n">
        <x:v>46185</x:v>
      </x:c>
      <x:c r="Q204" s="11" t="n">
        <x:v>46185</x:v>
      </x:c>
      <x:c r="R204" s="11" t="n">
        <x:v>7</x:v>
      </x:c>
      <x:c r="S204" s="11" t="n">
        <x:v>7</x:v>
      </x:c>
      <x:c r="T204" s="11" t="n">
        <x:v>7</x:v>
      </x:c>
      <x:c r="U204" s="12" t="n">
        <x:v>15.83</x:v>
      </x:c>
      <x:c r="V204" s="9" t="str">
        <x:v>CHANGES.rst
docs/config.rst
src/flask/config.py</x:v>
      </x:c>
      <x:c r="W204" s="9" t="str"/>
      <x:c r="X204" s="9" t="str">
        <x:v>task_output-wsl/lite-baseline-001/instances/pallets__flask-4992/attempt-0001/state.json
task_output-wsl/lite-baseline-001/instances/pallets__flask-4992/attempt-0001/state.json</x:v>
      </x:c>
      <x:c r="Y204" s="2" t="str">
        <x:v>thinking
text</x:v>
      </x:c>
      <x:c r="Z204" s="11" t="n">
        <x:v>145</x:v>
      </x:c>
      <x:c r="AA204" s="11" t="n">
        <x:v>0</x:v>
      </x:c>
    </x:row>
    <x:row r="205" ht="37" customHeight="1">
      <x:c r="A205" s="2" t="str">
        <x:v>pallets__flask-5063</x:v>
      </x:c>
      <x:c r="B205" s="2" t="str">
        <x:v>pallets/flask</x:v>
      </x:c>
      <x:c r="C205" s="2" t="str">
        <x:v>resolved</x:v>
      </x:c>
      <x:c r="D205" s="2" t="str">
        <x:v>已解决</x:v>
      </x:c>
      <x:c r="E205" s="10" t="str">
        <x:v>gold通过，最新attempt未记录API终止、runner启动失败或评测基础设施终止；不代表原始全套测试零失败。</x:v>
      </x:c>
      <x:c r="F205" s="10" t="str"/>
      <x:c r="G205" s="2" t="str">
        <x:v>通过</x:v>
      </x:c>
      <x:c r="H205" s="2" t="str">
        <x:v>completed</x:v>
      </x:c>
      <x:c r="I205" s="11" t="n">
        <x:v>1</x:v>
      </x:c>
      <x:c r="J205" s="11" t="n">
        <x:v>1</x:v>
      </x:c>
      <x:c r="K205" s="11" t="str">
        <x:v>resolved</x:v>
      </x:c>
      <x:c r="L205" s="11" t="n">
        <x:v>2</x:v>
      </x:c>
      <x:c r="M205" s="11" t="n">
        <x:v>0</x:v>
      </x:c>
      <x:c r="N205" s="11" t="n">
        <x:v>54</x:v>
      </x:c>
      <x:c r="O205" s="11" t="n">
        <x:v>0</x:v>
      </x:c>
      <x:c r="P205" s="11" t="n">
        <x:v>204247</x:v>
      </x:c>
      <x:c r="Q205" s="11" t="n">
        <x:v>204247</x:v>
      </x:c>
      <x:c r="R205" s="11" t="n">
        <x:v>24</x:v>
      </x:c>
      <x:c r="S205" s="11" t="n">
        <x:v>24</x:v>
      </x:c>
      <x:c r="T205" s="11" t="n">
        <x:v>23</x:v>
      </x:c>
      <x:c r="U205" s="12" t="n">
        <x:v>79.369</x:v>
      </x:c>
      <x:c r="V205" s="9" t="str">
        <x:v>src/flask/cli.py</x:v>
      </x:c>
      <x:c r="W205" s="9" t="str"/>
      <x:c r="X205" s="9" t="str">
        <x:v>task_output-wsl/lite-baseline-001/instances/pallets__flask-5063/attempt-0001/state.json
task_output-wsl/lite-baseline-001/instances/pallets__flask-5063/attempt-0001/state.json</x:v>
      </x:c>
      <x:c r="Y205" s="2" t="str">
        <x:v>thinking
text</x:v>
      </x:c>
      <x:c r="Z205" s="11" t="n">
        <x:v>280</x:v>
      </x:c>
      <x:c r="AA205" s="11" t="n">
        <x:v>0</x:v>
      </x:c>
    </x:row>
    <x:row r="206" ht="37" customHeight="1">
      <x:c r="A206" s="2" t="str">
        <x:v>psf__requests-1963</x:v>
      </x:c>
      <x:c r="B206" s="2" t="str">
        <x:v>psf/requests</x:v>
      </x:c>
      <x:c r="C206" s="2" t="str">
        <x:v>resolved</x:v>
      </x:c>
      <x:c r="D206" s="2" t="str">
        <x:v>已解决</x:v>
      </x:c>
      <x:c r="E206" s="10" t="str">
        <x:v>gold通过，最新attempt未记录API终止、runner启动失败或评测基础设施终止；不代表原始全套测试零失败。</x:v>
      </x:c>
      <x:c r="F206" s="10" t="str"/>
      <x:c r="G206" s="2" t="str">
        <x:v>通过</x:v>
      </x:c>
      <x:c r="H206" s="2" t="str">
        <x:v>completed</x:v>
      </x:c>
      <x:c r="I206" s="11" t="n">
        <x:v>1</x:v>
      </x:c>
      <x:c r="J206" s="11" t="n">
        <x:v>1</x:v>
      </x:c>
      <x:c r="K206" s="11" t="str">
        <x:v>resolved</x:v>
      </x:c>
      <x:c r="L206" s="11" t="n">
        <x:v>7</x:v>
      </x:c>
      <x:c r="M206" s="11" t="n">
        <x:v>0</x:v>
      </x:c>
      <x:c r="N206" s="11" t="n">
        <x:v>112</x:v>
      </x:c>
      <x:c r="O206" s="11" t="n">
        <x:v>0</x:v>
      </x:c>
      <x:c r="P206" s="11" t="n">
        <x:v>206539</x:v>
      </x:c>
      <x:c r="Q206" s="11" t="n">
        <x:v>206539</x:v>
      </x:c>
      <x:c r="R206" s="11" t="n">
        <x:v>19</x:v>
      </x:c>
      <x:c r="S206" s="11" t="n">
        <x:v>19</x:v>
      </x:c>
      <x:c r="T206" s="11" t="n">
        <x:v>19</x:v>
      </x:c>
      <x:c r="U206" s="12" t="n">
        <x:v>158.321</x:v>
      </x:c>
      <x:c r="V206" s="9" t="str">
        <x:v>requests/sessions.py</x:v>
      </x:c>
      <x:c r="W206" s="9" t="str"/>
      <x:c r="X206" s="9" t="str">
        <x:v>task_output-wsl/lite-baseline-001/instances/psf__requests-1963/attempt-0001/state.json
task_output-wsl/lite-baseline-001/instances/psf__requests-1963/attempt-0001/state.json</x:v>
      </x:c>
      <x:c r="Y206" s="2" t="str">
        <x:v>thinking
text</x:v>
      </x:c>
      <x:c r="Z206" s="11" t="n">
        <x:v>579</x:v>
      </x:c>
      <x:c r="AA206" s="11" t="n">
        <x:v>0</x:v>
      </x:c>
    </x:row>
    <x:row r="207" ht="37" customHeight="1">
      <x:c r="A207" s="2" t="str">
        <x:v>pydata__xarray-3364</x:v>
      </x:c>
      <x:c r="B207" s="2" t="str">
        <x:v>pydata/xarray</x:v>
      </x:c>
      <x:c r="C207" s="2" t="str">
        <x:v>resolved</x:v>
      </x:c>
      <x:c r="D207" s="2" t="str">
        <x:v>已解决</x:v>
      </x:c>
      <x:c r="E207" s="10" t="str">
        <x:v>gold通过，最新attempt未记录API终止、runner启动失败或评测基础设施终止；不代表原始全套测试零失败。</x:v>
      </x:c>
      <x:c r="F207" s="10" t="str"/>
      <x:c r="G207" s="2" t="str">
        <x:v>通过</x:v>
      </x:c>
      <x:c r="H207" s="2" t="str">
        <x:v>completed</x:v>
      </x:c>
      <x:c r="I207" s="11" t="n">
        <x:v>1</x:v>
      </x:c>
      <x:c r="J207" s="11" t="n">
        <x:v>1</x:v>
      </x:c>
      <x:c r="K207" s="11" t="str">
        <x:v>resolved</x:v>
      </x:c>
      <x:c r="L207" s="11" t="n">
        <x:v>2</x:v>
      </x:c>
      <x:c r="M207" s="11" t="n">
        <x:v>0</x:v>
      </x:c>
      <x:c r="N207" s="11" t="n">
        <x:v>110</x:v>
      </x:c>
      <x:c r="O207" s="11" t="n">
        <x:v>0</x:v>
      </x:c>
      <x:c r="P207" s="11" t="n">
        <x:v>381109</x:v>
      </x:c>
      <x:c r="Q207" s="11" t="n">
        <x:v>381109</x:v>
      </x:c>
      <x:c r="R207" s="11" t="n">
        <x:v>36</x:v>
      </x:c>
      <x:c r="S207" s="11" t="n">
        <x:v>36</x:v>
      </x:c>
      <x:c r="T207" s="11" t="n">
        <x:v>35</x:v>
      </x:c>
      <x:c r="U207" s="12" t="n">
        <x:v>90.145</x:v>
      </x:c>
      <x:c r="V207" s="9" t="str">
        <x:v>xarray/core/concat.py</x:v>
      </x:c>
      <x:c r="W207" s="9" t="str"/>
      <x:c r="X207" s="9" t="str">
        <x:v>task_output-wsl/lite-baseline-001/instances/pydata__xarray-3364/attempt-0001/state.json
task_output-wsl/lite-baseline-001/instances/pydata__xarray-3364/attempt-0001/state.json</x:v>
      </x:c>
      <x:c r="Y207" s="2" t="str">
        <x:v>thinking
text</x:v>
      </x:c>
      <x:c r="Z207" s="11" t="n">
        <x:v>703</x:v>
      </x:c>
      <x:c r="AA207" s="11" t="n">
        <x:v>0</x:v>
      </x:c>
    </x:row>
    <x:row r="208" ht="37" customHeight="1">
      <x:c r="A208" s="2" t="str">
        <x:v>pydata__xarray-4094</x:v>
      </x:c>
      <x:c r="B208" s="2" t="str">
        <x:v>pydata/xarray</x:v>
      </x:c>
      <x:c r="C208" s="2" t="str">
        <x:v>resolved</x:v>
      </x:c>
      <x:c r="D208" s="2" t="str">
        <x:v>已解决</x:v>
      </x:c>
      <x:c r="E208" s="10" t="str">
        <x:v>gold通过，最新attempt未记录API终止、runner启动失败或评测基础设施终止；不代表原始全套测试零失败。</x:v>
      </x:c>
      <x:c r="F208" s="10" t="str"/>
      <x:c r="G208" s="2" t="str">
        <x:v>通过</x:v>
      </x:c>
      <x:c r="H208" s="2" t="str">
        <x:v>completed</x:v>
      </x:c>
      <x:c r="I208" s="11" t="n">
        <x:v>1</x:v>
      </x:c>
      <x:c r="J208" s="11" t="n">
        <x:v>1</x:v>
      </x:c>
      <x:c r="K208" s="11" t="str">
        <x:v>resolved</x:v>
      </x:c>
      <x:c r="L208" s="11" t="n">
        <x:v>1</x:v>
      </x:c>
      <x:c r="M208" s="11" t="n">
        <x:v>0</x:v>
      </x:c>
      <x:c r="N208" s="11" t="n">
        <x:v>862</x:v>
      </x:c>
      <x:c r="O208" s="11" t="n">
        <x:v>0</x:v>
      </x:c>
      <x:c r="P208" s="11" t="n">
        <x:v>167948</x:v>
      </x:c>
      <x:c r="Q208" s="11" t="n">
        <x:v>167948</x:v>
      </x:c>
      <x:c r="R208" s="11" t="n">
        <x:v>16</x:v>
      </x:c>
      <x:c r="S208" s="11" t="n">
        <x:v>16</x:v>
      </x:c>
      <x:c r="T208" s="11" t="n">
        <x:v>16</x:v>
      </x:c>
      <x:c r="U208" s="12" t="n">
        <x:v>75.194</x:v>
      </x:c>
      <x:c r="V208" s="9" t="str">
        <x:v>xarray/core/dataarray.py</x:v>
      </x:c>
      <x:c r="W208" s="9" t="str"/>
      <x:c r="X208" s="9" t="str">
        <x:v>task_output-wsl/lite-baseline-001/instances/pydata__xarray-4094/attempt-0001/state.json
task_output-wsl/lite-baseline-001/instances/pydata__xarray-4094/attempt-0001/state.json</x:v>
      </x:c>
      <x:c r="Y208" s="2" t="str">
        <x:v>thinking
text</x:v>
      </x:c>
      <x:c r="Z208" s="11" t="n">
        <x:v>722</x:v>
      </x:c>
      <x:c r="AA208" s="11" t="n">
        <x:v>0</x:v>
      </x:c>
    </x:row>
    <x:row r="209" ht="37" customHeight="1">
      <x:c r="A209" s="2" t="str">
        <x:v>pydata__xarray-4248</x:v>
      </x:c>
      <x:c r="B209" s="2" t="str">
        <x:v>pydata/xarray</x:v>
      </x:c>
      <x:c r="C209" s="2" t="str">
        <x:v>resolved</x:v>
      </x:c>
      <x:c r="D209" s="2" t="str">
        <x:v>已解决</x:v>
      </x:c>
      <x:c r="E209" s="10" t="str">
        <x:v>gold通过，最新attempt未记录API终止、runner启动失败或评测基础设施终止；不代表原始全套测试零失败。</x:v>
      </x:c>
      <x:c r="F209" s="10" t="str"/>
      <x:c r="G209" s="2" t="str">
        <x:v>通过</x:v>
      </x:c>
      <x:c r="H209" s="2" t="str">
        <x:v>completed</x:v>
      </x:c>
      <x:c r="I209" s="11" t="n">
        <x:v>1</x:v>
      </x:c>
      <x:c r="J209" s="11" t="n">
        <x:v>1</x:v>
      </x:c>
      <x:c r="K209" s="11" t="str">
        <x:v>resolved</x:v>
      </x:c>
      <x:c r="L209" s="11" t="n">
        <x:v>1</x:v>
      </x:c>
      <x:c r="M209" s="11" t="n">
        <x:v>0</x:v>
      </x:c>
      <x:c r="N209" s="11" t="n">
        <x:v>18</x:v>
      </x:c>
      <x:c r="O209" s="11" t="n">
        <x:v>0</x:v>
      </x:c>
      <x:c r="P209" s="11" t="n">
        <x:v>368768</x:v>
      </x:c>
      <x:c r="Q209" s="11" t="n">
        <x:v>368768</x:v>
      </x:c>
      <x:c r="R209" s="11" t="n">
        <x:v>33</x:v>
      </x:c>
      <x:c r="S209" s="11" t="n">
        <x:v>33</x:v>
      </x:c>
      <x:c r="T209" s="11" t="n">
        <x:v>32</x:v>
      </x:c>
      <x:c r="U209" s="12" t="n">
        <x:v>85.57</x:v>
      </x:c>
      <x:c r="V209" s="9" t="str">
        <x:v>doc/whats-new.rst
xarray/core/formatting.py</x:v>
      </x:c>
      <x:c r="W209" s="9" t="str"/>
      <x:c r="X209" s="9" t="str">
        <x:v>task_output-wsl/lite-baseline-001/instances/pydata__xarray-4248/attempt-0001/state.json
task_output-wsl/lite-baseline-001/instances/pydata__xarray-4248/attempt-0001/state.json</x:v>
      </x:c>
      <x:c r="Y209" s="2" t="str">
        <x:v>thinking
text</x:v>
      </x:c>
      <x:c r="Z209" s="11" t="n">
        <x:v>626</x:v>
      </x:c>
      <x:c r="AA209" s="11" t="n">
        <x:v>0</x:v>
      </x:c>
    </x:row>
    <x:row r="210" ht="37" customHeight="1">
      <x:c r="A210" s="2" t="str">
        <x:v>pydata__xarray-5131</x:v>
      </x:c>
      <x:c r="B210" s="2" t="str">
        <x:v>pydata/xarray</x:v>
      </x:c>
      <x:c r="C210" s="2" t="str">
        <x:v>resolved</x:v>
      </x:c>
      <x:c r="D210" s="2" t="str">
        <x:v>已解决</x:v>
      </x:c>
      <x:c r="E210" s="10" t="str">
        <x:v>gold通过，最新attempt未记录API终止、runner启动失败或评测基础设施终止；不代表原始全套测试零失败。</x:v>
      </x:c>
      <x:c r="F210" s="10" t="str"/>
      <x:c r="G210" s="2" t="str">
        <x:v>通过</x:v>
      </x:c>
      <x:c r="H210" s="2" t="str">
        <x:v>completed</x:v>
      </x:c>
      <x:c r="I210" s="11" t="n">
        <x:v>1</x:v>
      </x:c>
      <x:c r="J210" s="11" t="n">
        <x:v>1</x:v>
      </x:c>
      <x:c r="K210" s="11" t="str">
        <x:v>resolved</x:v>
      </x:c>
      <x:c r="L210" s="11" t="n">
        <x:v>10</x:v>
      </x:c>
      <x:c r="M210" s="11" t="n">
        <x:v>0</x:v>
      </x:c>
      <x:c r="N210" s="11" t="n">
        <x:v>24</x:v>
      </x:c>
      <x:c r="O210" s="11" t="n">
        <x:v>0</x:v>
      </x:c>
      <x:c r="P210" s="11" t="n">
        <x:v>50141</x:v>
      </x:c>
      <x:c r="Q210" s="11" t="n">
        <x:v>50141</x:v>
      </x:c>
      <x:c r="R210" s="11" t="n">
        <x:v>10</x:v>
      </x:c>
      <x:c r="S210" s="11" t="n">
        <x:v>10</x:v>
      </x:c>
      <x:c r="T210" s="11" t="n">
        <x:v>10</x:v>
      </x:c>
      <x:c r="U210" s="12" t="n">
        <x:v>23.288</x:v>
      </x:c>
      <x:c r="V210" s="9" t="str">
        <x:v>xarray/core/groupby.py</x:v>
      </x:c>
      <x:c r="W210" s="9" t="str"/>
      <x:c r="X210" s="9" t="str">
        <x:v>task_output-wsl/lite-baseline-001/instances/pydata__xarray-5131/attempt-0001/state.json
task_output-wsl/lite-baseline-001/instances/pydata__xarray-5131/attempt-0001/state.json</x:v>
      </x:c>
      <x:c r="Y210" s="2" t="str">
        <x:v>thinking
text</x:v>
      </x:c>
      <x:c r="Z210" s="11" t="n">
        <x:v>291</x:v>
      </x:c>
      <x:c r="AA210" s="11" t="n">
        <x:v>0</x:v>
      </x:c>
    </x:row>
    <x:row r="211" ht="37" customHeight="1">
      <x:c r="A211" s="2" t="str">
        <x:v>pylint-dev__pylint-5859</x:v>
      </x:c>
      <x:c r="B211" s="2" t="str">
        <x:v>pylint-dev/pylint</x:v>
      </x:c>
      <x:c r="C211" s="2" t="str">
        <x:v>resolved</x:v>
      </x:c>
      <x:c r="D211" s="2" t="str">
        <x:v>已解决</x:v>
      </x:c>
      <x:c r="E211" s="10" t="str">
        <x:v>gold通过，最新attempt未记录API终止、runner启动失败或评测基础设施终止；不代表原始全套测试零失败。</x:v>
      </x:c>
      <x:c r="F211" s="10" t="str"/>
      <x:c r="G211" s="2" t="str">
        <x:v>通过</x:v>
      </x:c>
      <x:c r="H211" s="2" t="str">
        <x:v>completed</x:v>
      </x:c>
      <x:c r="I211" s="11" t="n">
        <x:v>1</x:v>
      </x:c>
      <x:c r="J211" s="11" t="n">
        <x:v>1</x:v>
      </x:c>
      <x:c r="K211" s="11" t="str">
        <x:v>resolved</x:v>
      </x:c>
      <x:c r="L211" s="11" t="n">
        <x:v>1</x:v>
      </x:c>
      <x:c r="M211" s="11" t="n">
        <x:v>0</x:v>
      </x:c>
      <x:c r="N211" s="11" t="n">
        <x:v>10</x:v>
      </x:c>
      <x:c r="O211" s="11" t="n">
        <x:v>0</x:v>
      </x:c>
      <x:c r="P211" s="11" t="n">
        <x:v>59155</x:v>
      </x:c>
      <x:c r="Q211" s="11" t="n">
        <x:v>59155</x:v>
      </x:c>
      <x:c r="R211" s="11" t="n">
        <x:v>9</x:v>
      </x:c>
      <x:c r="S211" s="11" t="n">
        <x:v>9</x:v>
      </x:c>
      <x:c r="T211" s="11" t="n">
        <x:v>9</x:v>
      </x:c>
      <x:c r="U211" s="12" t="n">
        <x:v>20.41</x:v>
      </x:c>
      <x:c r="V211" s="9" t="str">
        <x:v>pylint/checkers/misc.py</x:v>
      </x:c>
      <x:c r="W211" s="9" t="str"/>
      <x:c r="X211" s="9" t="str">
        <x:v>task_output-wsl/lite-baseline-001/instances/pylint-dev__pylint-5859/attempt-0001/state.json
task_output-wsl/lite-baseline-001/instances/pylint-dev__pylint-5859/attempt-0001/state.json</x:v>
      </x:c>
      <x:c r="Y211" s="2" t="str">
        <x:v>thinking
text</x:v>
      </x:c>
      <x:c r="Z211" s="11" t="n">
        <x:v>137</x:v>
      </x:c>
      <x:c r="AA211" s="11" t="n">
        <x:v>0</x:v>
      </x:c>
    </x:row>
    <x:row r="212" ht="37" customHeight="1">
      <x:c r="A212" s="2" t="str">
        <x:v>pylint-dev__pylint-6506</x:v>
      </x:c>
      <x:c r="B212" s="2" t="str">
        <x:v>pylint-dev/pylint</x:v>
      </x:c>
      <x:c r="C212" s="2" t="str">
        <x:v>resolved</x:v>
      </x:c>
      <x:c r="D212" s="2" t="str">
        <x:v>已解决</x:v>
      </x:c>
      <x:c r="E212" s="10" t="str">
        <x:v>gold通过，最新attempt未记录API终止、runner启动失败或评测基础设施终止；不代表原始全套测试零失败。</x:v>
      </x:c>
      <x:c r="F212" s="10" t="str"/>
      <x:c r="G212" s="2" t="str">
        <x:v>通过</x:v>
      </x:c>
      <x:c r="H212" s="2" t="str">
        <x:v>completed</x:v>
      </x:c>
      <x:c r="I212" s="11" t="n">
        <x:v>1</x:v>
      </x:c>
      <x:c r="J212" s="11" t="n">
        <x:v>1</x:v>
      </x:c>
      <x:c r="K212" s="11" t="str">
        <x:v>resolved</x:v>
      </x:c>
      <x:c r="L212" s="11" t="n">
        <x:v>2</x:v>
      </x:c>
      <x:c r="M212" s="11" t="n">
        <x:v>0</x:v>
      </x:c>
      <x:c r="N212" s="11" t="n">
        <x:v>6</x:v>
      </x:c>
      <x:c r="O212" s="11" t="n">
        <x:v>0</x:v>
      </x:c>
      <x:c r="P212" s="11" t="n">
        <x:v>294945</x:v>
      </x:c>
      <x:c r="Q212" s="11" t="n">
        <x:v>294945</x:v>
      </x:c>
      <x:c r="R212" s="11" t="n">
        <x:v>26</x:v>
      </x:c>
      <x:c r="S212" s="11" t="n">
        <x:v>26</x:v>
      </x:c>
      <x:c r="T212" s="11" t="n">
        <x:v>26</x:v>
      </x:c>
      <x:c r="U212" s="12" t="n">
        <x:v>56.221</x:v>
      </x:c>
      <x:c r="V212" s="9" t="str">
        <x:v>pylint/lint/run.py</x:v>
      </x:c>
      <x:c r="W212" s="9" t="str"/>
      <x:c r="X212" s="9" t="str">
        <x:v>task_output-wsl/lite-baseline-001/instances/pylint-dev__pylint-6506/attempt-0001/state.json
task_output-wsl/lite-baseline-001/instances/pylint-dev__pylint-6506/attempt-0001/state.json</x:v>
      </x:c>
      <x:c r="Y212" s="2" t="str">
        <x:v>thinking
text</x:v>
      </x:c>
      <x:c r="Z212" s="11" t="n">
        <x:v>195</x:v>
      </x:c>
      <x:c r="AA212" s="11" t="n">
        <x:v>0</x:v>
      </x:c>
    </x:row>
    <x:row r="213" ht="37" customHeight="1">
      <x:c r="A213" s="2" t="str">
        <x:v>pylint-dev__pylint-7228</x:v>
      </x:c>
      <x:c r="B213" s="2" t="str">
        <x:v>pylint-dev/pylint</x:v>
      </x:c>
      <x:c r="C213" s="2" t="str">
        <x:v>resolved</x:v>
      </x:c>
      <x:c r="D213" s="2" t="str">
        <x:v>已解决</x:v>
      </x:c>
      <x:c r="E213" s="10" t="str">
        <x:v>gold通过，最新attempt未记录API终止、runner启动失败或评测基础设施终止；不代表原始全套测试零失败。</x:v>
      </x:c>
      <x:c r="F213" s="10" t="str"/>
      <x:c r="G213" s="2" t="str">
        <x:v>通过</x:v>
      </x:c>
      <x:c r="H213" s="2" t="str">
        <x:v>completed</x:v>
      </x:c>
      <x:c r="I213" s="11" t="n">
        <x:v>1</x:v>
      </x:c>
      <x:c r="J213" s="11" t="n">
        <x:v>1</x:v>
      </x:c>
      <x:c r="K213" s="11" t="str">
        <x:v>resolved</x:v>
      </x:c>
      <x:c r="L213" s="11" t="n">
        <x:v>2</x:v>
      </x:c>
      <x:c r="M213" s="11" t="n">
        <x:v>0</x:v>
      </x:c>
      <x:c r="N213" s="11" t="n">
        <x:v>10</x:v>
      </x:c>
      <x:c r="O213" s="11" t="n">
        <x:v>0</x:v>
      </x:c>
      <x:c r="P213" s="11" t="n">
        <x:v>437458</x:v>
      </x:c>
      <x:c r="Q213" s="11" t="n">
        <x:v>437458</x:v>
      </x:c>
      <x:c r="R213" s="11" t="n">
        <x:v>39</x:v>
      </x:c>
      <x:c r="S213" s="11" t="n">
        <x:v>39</x:v>
      </x:c>
      <x:c r="T213" s="11" t="n">
        <x:v>37</x:v>
      </x:c>
      <x:c r="U213" s="12" t="n">
        <x:v>138.245</x:v>
      </x:c>
      <x:c r="V213" s="9" t="str">
        <x:v>pylint/config/argument.py</x:v>
      </x:c>
      <x:c r="W213" s="9" t="str"/>
      <x:c r="X213" s="9" t="str">
        <x:v>task_output-wsl/lite-baseline-001/instances/pylint-dev__pylint-7228/attempt-0001/state.json
task_output-wsl/lite-baseline-001/instances/pylint-dev__pylint-7228/attempt-0001/state.json</x:v>
      </x:c>
      <x:c r="Y213" s="2" t="str">
        <x:v>thinking
text</x:v>
      </x:c>
      <x:c r="Z213" s="11" t="n">
        <x:v>318</x:v>
      </x:c>
      <x:c r="AA213" s="11" t="n">
        <x:v>0</x:v>
      </x:c>
    </x:row>
    <x:row r="214" ht="37" customHeight="1">
      <x:c r="A214" s="2" t="str">
        <x:v>pylint-dev__pylint-7993</x:v>
      </x:c>
      <x:c r="B214" s="2" t="str">
        <x:v>pylint-dev/pylint</x:v>
      </x:c>
      <x:c r="C214" s="2" t="str">
        <x:v>resolved</x:v>
      </x:c>
      <x:c r="D214" s="2" t="str">
        <x:v>已解决</x:v>
      </x:c>
      <x:c r="E214" s="10" t="str">
        <x:v>gold通过，最新attempt未记录API终止、runner启动失败或评测基础设施终止；不代表原始全套测试零失败。</x:v>
      </x:c>
      <x:c r="F214" s="10" t="str"/>
      <x:c r="G214" s="2" t="str">
        <x:v>通过</x:v>
      </x:c>
      <x:c r="H214" s="2" t="str">
        <x:v>completed</x:v>
      </x:c>
      <x:c r="I214" s="11" t="n">
        <x:v>1</x:v>
      </x:c>
      <x:c r="J214" s="11" t="n">
        <x:v>1</x:v>
      </x:c>
      <x:c r="K214" s="11" t="str">
        <x:v>resolved</x:v>
      </x:c>
      <x:c r="L214" s="11" t="n">
        <x:v>1</x:v>
      </x:c>
      <x:c r="M214" s="11" t="n">
        <x:v>0</x:v>
      </x:c>
      <x:c r="N214" s="11" t="n">
        <x:v>10</x:v>
      </x:c>
      <x:c r="O214" s="11" t="n">
        <x:v>0</x:v>
      </x:c>
      <x:c r="P214" s="11" t="n">
        <x:v>404028</x:v>
      </x:c>
      <x:c r="Q214" s="11" t="n">
        <x:v>404028</x:v>
      </x:c>
      <x:c r="R214" s="11" t="n">
        <x:v>36</x:v>
      </x:c>
      <x:c r="S214" s="11" t="n">
        <x:v>36</x:v>
      </x:c>
      <x:c r="T214" s="11" t="n">
        <x:v>34</x:v>
      </x:c>
      <x:c r="U214" s="12" t="n">
        <x:v>137.431</x:v>
      </x:c>
      <x:c r="V214" s="9" t="str">
        <x:v>pylint/reporters/text.py</x:v>
      </x:c>
      <x:c r="W214" s="9" t="str"/>
      <x:c r="X214" s="9" t="str">
        <x:v>task_output-wsl/lite-baseline-001/instances/pylint-dev__pylint-7993/attempt-0001/state.json
task_output-wsl/lite-baseline-001/instances/pylint-dev__pylint-7993/attempt-0001/state.json</x:v>
      </x:c>
      <x:c r="Y214" s="2" t="str">
        <x:v>thinking
text</x:v>
      </x:c>
      <x:c r="Z214" s="11" t="n">
        <x:v>241</x:v>
      </x:c>
      <x:c r="AA214" s="11" t="n">
        <x:v>0</x:v>
      </x:c>
    </x:row>
    <x:row r="215" ht="37" customHeight="1">
      <x:c r="A215" s="2" t="str">
        <x:v>pytest-dev__pytest-11143</x:v>
      </x:c>
      <x:c r="B215" s="2" t="str">
        <x:v>pytest-dev/pytest</x:v>
      </x:c>
      <x:c r="C215" s="2" t="str">
        <x:v>resolved</x:v>
      </x:c>
      <x:c r="D215" s="2" t="str">
        <x:v>已解决</x:v>
      </x:c>
      <x:c r="E215" s="10" t="str">
        <x:v>gold通过，最新attempt未记录API终止、runner启动失败或评测基础设施终止；不代表原始全套测试零失败。</x:v>
      </x:c>
      <x:c r="F215" s="10" t="str"/>
      <x:c r="G215" s="2" t="str">
        <x:v>通过</x:v>
      </x:c>
      <x:c r="H215" s="2" t="str">
        <x:v>completed</x:v>
      </x:c>
      <x:c r="I215" s="11" t="n">
        <x:v>1</x:v>
      </x:c>
      <x:c r="J215" s="11" t="n">
        <x:v>1</x:v>
      </x:c>
      <x:c r="K215" s="11" t="str">
        <x:v>resolved</x:v>
      </x:c>
      <x:c r="L215" s="11" t="n">
        <x:v>1</x:v>
      </x:c>
      <x:c r="M215" s="11" t="n">
        <x:v>0</x:v>
      </x:c>
      <x:c r="N215" s="11" t="n">
        <x:v>114</x:v>
      </x:c>
      <x:c r="O215" s="11" t="n">
        <x:v>0</x:v>
      </x:c>
      <x:c r="P215" s="11" t="n">
        <x:v>103444</x:v>
      </x:c>
      <x:c r="Q215" s="11" t="n">
        <x:v>103444</x:v>
      </x:c>
      <x:c r="R215" s="11" t="n">
        <x:v>12</x:v>
      </x:c>
      <x:c r="S215" s="11" t="n">
        <x:v>12</x:v>
      </x:c>
      <x:c r="T215" s="11" t="n">
        <x:v>12</x:v>
      </x:c>
      <x:c r="U215" s="12" t="n">
        <x:v>30.486</x:v>
      </x:c>
      <x:c r="V215" s="9" t="str">
        <x:v>src/_pytest/assertion/rewrite.py</x:v>
      </x:c>
      <x:c r="W215" s="9" t="str"/>
      <x:c r="X215" s="9" t="str">
        <x:v>task_output-wsl/lite-baseline-001/instances/pytest-dev__pytest-11143/attempt-0001/state.json
task_output-wsl/lite-baseline-001/instances/pytest-dev__pytest-11143/attempt-0001/state.json</x:v>
      </x:c>
      <x:c r="Y215" s="2" t="str">
        <x:v>thinking
text</x:v>
      </x:c>
      <x:c r="Z215" s="11" t="n">
        <x:v>117</x:v>
      </x:c>
      <x:c r="AA215" s="11" t="n">
        <x:v>0</x:v>
      </x:c>
    </x:row>
    <x:row r="216" ht="37" customHeight="1">
      <x:c r="A216" s="2" t="str">
        <x:v>pytest-dev__pytest-5221</x:v>
      </x:c>
      <x:c r="B216" s="2" t="str">
        <x:v>pytest-dev/pytest</x:v>
      </x:c>
      <x:c r="C216" s="2" t="str">
        <x:v>resolved</x:v>
      </x:c>
      <x:c r="D216" s="2" t="str">
        <x:v>已解决</x:v>
      </x:c>
      <x:c r="E216" s="10" t="str">
        <x:v>gold通过，最新attempt未记录API终止、runner启动失败或评测基础设施终止；不代表原始全套测试零失败。</x:v>
      </x:c>
      <x:c r="F216" s="10" t="str"/>
      <x:c r="G216" s="2" t="str">
        <x:v>通过</x:v>
      </x:c>
      <x:c r="H216" s="2" t="str">
        <x:v>completed</x:v>
      </x:c>
      <x:c r="I216" s="11" t="n">
        <x:v>1</x:v>
      </x:c>
      <x:c r="J216" s="11" t="n">
        <x:v>1</x:v>
      </x:c>
      <x:c r="K216" s="11" t="str">
        <x:v>resolved</x:v>
      </x:c>
      <x:c r="L216" s="11" t="n">
        <x:v>2</x:v>
      </x:c>
      <x:c r="M216" s="11" t="n">
        <x:v>0</x:v>
      </x:c>
      <x:c r="N216" s="11" t="n">
        <x:v>170</x:v>
      </x:c>
      <x:c r="O216" s="11" t="n">
        <x:v>0</x:v>
      </x:c>
      <x:c r="P216" s="11" t="n">
        <x:v>460630</x:v>
      </x:c>
      <x:c r="Q216" s="11" t="n">
        <x:v>460630</x:v>
      </x:c>
      <x:c r="R216" s="11" t="n">
        <x:v>44</x:v>
      </x:c>
      <x:c r="S216" s="11" t="n">
        <x:v>44</x:v>
      </x:c>
      <x:c r="T216" s="11" t="n">
        <x:v>42</x:v>
      </x:c>
      <x:c r="U216" s="12" t="n">
        <x:v>149.928</x:v>
      </x:c>
      <x:c r="V216" s="9" t="str">
        <x:v>changelog/5194.feature.rst
src/_pytest/python.py</x:v>
      </x:c>
      <x:c r="W216" s="9" t="str"/>
      <x:c r="X216" s="9" t="str">
        <x:v>task_output-wsl/lite-baseline-001/instances/pytest-dev__pytest-5221/attempt-0001/state.json
task_output-wsl/lite-baseline-001/instances/pytest-dev__pytest-5221/attempt-0001/state.json</x:v>
      </x:c>
      <x:c r="Y216" s="2" t="str">
        <x:v>thinking
text</x:v>
      </x:c>
      <x:c r="Z216" s="11" t="n">
        <x:v>280</x:v>
      </x:c>
      <x:c r="AA216" s="11" t="n">
        <x:v>0</x:v>
      </x:c>
    </x:row>
    <x:row r="217" ht="37" customHeight="1">
      <x:c r="A217" s="2" t="str">
        <x:v>pytest-dev__pytest-5227</x:v>
      </x:c>
      <x:c r="B217" s="2" t="str">
        <x:v>pytest-dev/pytest</x:v>
      </x:c>
      <x:c r="C217" s="2" t="str">
        <x:v>resolved</x:v>
      </x:c>
      <x:c r="D217" s="2" t="str">
        <x:v>已解决</x:v>
      </x:c>
      <x:c r="E217" s="10" t="str">
        <x:v>gold通过，最新attempt未记录API终止、runner启动失败或评测基础设施终止；不代表原始全套测试零失败。</x:v>
      </x:c>
      <x:c r="F217" s="10" t="str"/>
      <x:c r="G217" s="2" t="str">
        <x:v>通过</x:v>
      </x:c>
      <x:c r="H217" s="2" t="str">
        <x:v>completed</x:v>
      </x:c>
      <x:c r="I217" s="11" t="n">
        <x:v>1</x:v>
      </x:c>
      <x:c r="J217" s="11" t="n">
        <x:v>1</x:v>
      </x:c>
      <x:c r="K217" s="11" t="str">
        <x:v>resolved</x:v>
      </x:c>
      <x:c r="L217" s="11" t="n">
        <x:v>3</x:v>
      </x:c>
      <x:c r="M217" s="11" t="n">
        <x:v>0</x:v>
      </x:c>
      <x:c r="N217" s="11" t="n">
        <x:v>34</x:v>
      </x:c>
      <x:c r="O217" s="11" t="n">
        <x:v>0</x:v>
      </x:c>
      <x:c r="P217" s="11" t="n">
        <x:v>148495</x:v>
      </x:c>
      <x:c r="Q217" s="11" t="n">
        <x:v>148495</x:v>
      </x:c>
      <x:c r="R217" s="11" t="n">
        <x:v>15</x:v>
      </x:c>
      <x:c r="S217" s="11" t="n">
        <x:v>15</x:v>
      </x:c>
      <x:c r="T217" s="11" t="n">
        <x:v>15</x:v>
      </x:c>
      <x:c r="U217" s="12" t="n">
        <x:v>38.85</x:v>
      </x:c>
      <x:c r="V217" s="9" t="str">
        <x:v>doc/en/logging.rst
src/_pytest/logging.py</x:v>
      </x:c>
      <x:c r="W217" s="9" t="str"/>
      <x:c r="X217" s="9" t="str">
        <x:v>task_output-wsl/lite-baseline-001/instances/pytest-dev__pytest-5227/attempt-0001/state.json
task_output-wsl/lite-baseline-001/instances/pytest-dev__pytest-5227/attempt-0001/state.json</x:v>
      </x:c>
      <x:c r="Y217" s="2" t="str">
        <x:v>thinking
text</x:v>
      </x:c>
      <x:c r="Z217" s="11" t="n">
        <x:v>453</x:v>
      </x:c>
      <x:c r="AA217" s="11" t="n">
        <x:v>0</x:v>
      </x:c>
    </x:row>
    <x:row r="218" ht="37" customHeight="1">
      <x:c r="A218" s="2" t="str">
        <x:v>pytest-dev__pytest-5495</x:v>
      </x:c>
      <x:c r="B218" s="2" t="str">
        <x:v>pytest-dev/pytest</x:v>
      </x:c>
      <x:c r="C218" s="2" t="str">
        <x:v>resolved</x:v>
      </x:c>
      <x:c r="D218" s="2" t="str">
        <x:v>已解决</x:v>
      </x:c>
      <x:c r="E218" s="10" t="str">
        <x:v>gold通过，最新attempt未记录API终止、runner启动失败或评测基础设施终止；不代表原始全套测试零失败。</x:v>
      </x:c>
      <x:c r="F218" s="10" t="str"/>
      <x:c r="G218" s="2" t="str">
        <x:v>通过</x:v>
      </x:c>
      <x:c r="H218" s="2" t="str">
        <x:v>completed</x:v>
      </x:c>
      <x:c r="I218" s="11" t="n">
        <x:v>1</x:v>
      </x:c>
      <x:c r="J218" s="11" t="n">
        <x:v>1</x:v>
      </x:c>
      <x:c r="K218" s="11" t="str">
        <x:v>resolved</x:v>
      </x:c>
      <x:c r="L218" s="11" t="n">
        <x:v>2</x:v>
      </x:c>
      <x:c r="M218" s="11" t="n">
        <x:v>0</x:v>
      </x:c>
      <x:c r="N218" s="11" t="n">
        <x:v>86</x:v>
      </x:c>
      <x:c r="O218" s="11" t="n">
        <x:v>0</x:v>
      </x:c>
      <x:c r="P218" s="11" t="n">
        <x:v>422997</x:v>
      </x:c>
      <x:c r="Q218" s="11" t="n">
        <x:v>422997</x:v>
      </x:c>
      <x:c r="R218" s="11" t="n">
        <x:v>41</x:v>
      </x:c>
      <x:c r="S218" s="11" t="n">
        <x:v>41</x:v>
      </x:c>
      <x:c r="T218" s="11" t="n">
        <x:v>41</x:v>
      </x:c>
      <x:c r="U218" s="12" t="n">
        <x:v>85.143</x:v>
      </x:c>
      <x:c r="V218" s="9" t="str">
        <x:v>src/_pytest/assertion/util.py</x:v>
      </x:c>
      <x:c r="W218" s="9" t="str"/>
      <x:c r="X218" s="9" t="str">
        <x:v>task_output-wsl/lite-baseline-001/instances/pytest-dev__pytest-5495/attempt-0001/state.json
task_output-wsl/lite-baseline-001/instances/pytest-dev__pytest-5495/attempt-0001/state.json</x:v>
      </x:c>
      <x:c r="Y218" s="2" t="str">
        <x:v>thinking
text</x:v>
      </x:c>
      <x:c r="Z218" s="11" t="n">
        <x:v>132</x:v>
      </x:c>
      <x:c r="AA218" s="11" t="n">
        <x:v>0</x:v>
      </x:c>
    </x:row>
    <x:row r="219" ht="37" customHeight="1">
      <x:c r="A219" s="2" t="str">
        <x:v>pytest-dev__pytest-5692</x:v>
      </x:c>
      <x:c r="B219" s="2" t="str">
        <x:v>pytest-dev/pytest</x:v>
      </x:c>
      <x:c r="C219" s="2" t="str">
        <x:v>resolved</x:v>
      </x:c>
      <x:c r="D219" s="2" t="str">
        <x:v>已解决</x:v>
      </x:c>
      <x:c r="E219" s="10" t="str">
        <x:v>gold通过，最新attempt未记录API终止、runner启动失败或评测基础设施终止；不代表原始全套测试零失败。</x:v>
      </x:c>
      <x:c r="F219" s="10" t="str"/>
      <x:c r="G219" s="2" t="str">
        <x:v>通过</x:v>
      </x:c>
      <x:c r="H219" s="2" t="str">
        <x:v>completed</x:v>
      </x:c>
      <x:c r="I219" s="11" t="n">
        <x:v>1</x:v>
      </x:c>
      <x:c r="J219" s="11" t="n">
        <x:v>1</x:v>
      </x:c>
      <x:c r="K219" s="11" t="str">
        <x:v>resolved</x:v>
      </x:c>
      <x:c r="L219" s="11" t="n">
        <x:v>2</x:v>
      </x:c>
      <x:c r="M219" s="11" t="n">
        <x:v>0</x:v>
      </x:c>
      <x:c r="N219" s="11" t="n">
        <x:v>68</x:v>
      </x:c>
      <x:c r="O219" s="11" t="n">
        <x:v>0</x:v>
      </x:c>
      <x:c r="P219" s="11" t="n">
        <x:v>158095</x:v>
      </x:c>
      <x:c r="Q219" s="11" t="n">
        <x:v>158095</x:v>
      </x:c>
      <x:c r="R219" s="11" t="n">
        <x:v>17</x:v>
      </x:c>
      <x:c r="S219" s="11" t="n">
        <x:v>17</x:v>
      </x:c>
      <x:c r="T219" s="11" t="n">
        <x:v>17</x:v>
      </x:c>
      <x:c r="U219" s="12" t="n">
        <x:v>33.001</x:v>
      </x:c>
      <x:c r="V219" s="9" t="str">
        <x:v>src/_pytest/junitxml.py</x:v>
      </x:c>
      <x:c r="W219" s="9" t="str"/>
      <x:c r="X219" s="9" t="str">
        <x:v>task_output-wsl/lite-baseline-001/instances/pytest-dev__pytest-5692/attempt-0001/state.json
task_output-wsl/lite-baseline-001/instances/pytest-dev__pytest-5692/attempt-0001/state.json</x:v>
      </x:c>
      <x:c r="Y219" s="2" t="str">
        <x:v>thinking
text</x:v>
      </x:c>
      <x:c r="Z219" s="11" t="n">
        <x:v>105</x:v>
      </x:c>
      <x:c r="AA219" s="11" t="n">
        <x:v>0</x:v>
      </x:c>
    </x:row>
    <x:row r="220" ht="37" customHeight="1">
      <x:c r="A220" s="2" t="str">
        <x:v>pytest-dev__pytest-6116</x:v>
      </x:c>
      <x:c r="B220" s="2" t="str">
        <x:v>pytest-dev/pytest</x:v>
      </x:c>
      <x:c r="C220" s="2" t="str">
        <x:v>resolved</x:v>
      </x:c>
      <x:c r="D220" s="2" t="str">
        <x:v>已解决</x:v>
      </x:c>
      <x:c r="E220" s="10" t="str">
        <x:v>gold通过，最新attempt未记录API终止、runner启动失败或评测基础设施终止；不代表原始全套测试零失败。</x:v>
      </x:c>
      <x:c r="F220" s="10" t="str"/>
      <x:c r="G220" s="2" t="str">
        <x:v>通过</x:v>
      </x:c>
      <x:c r="H220" s="2" t="str">
        <x:v>completed</x:v>
      </x:c>
      <x:c r="I220" s="11" t="n">
        <x:v>1</x:v>
      </x:c>
      <x:c r="J220" s="11" t="n">
        <x:v>1</x:v>
      </x:c>
      <x:c r="K220" s="11" t="str">
        <x:v>resolved</x:v>
      </x:c>
      <x:c r="L220" s="11" t="n">
        <x:v>2</x:v>
      </x:c>
      <x:c r="M220" s="11" t="n">
        <x:v>0</x:v>
      </x:c>
      <x:c r="N220" s="11" t="n">
        <x:v>69</x:v>
      </x:c>
      <x:c r="O220" s="11" t="n">
        <x:v>0</x:v>
      </x:c>
      <x:c r="P220" s="11" t="n">
        <x:v>31814</x:v>
      </x:c>
      <x:c r="Q220" s="11" t="n">
        <x:v>31814</x:v>
      </x:c>
      <x:c r="R220" s="11" t="n">
        <x:v>7</x:v>
      </x:c>
      <x:c r="S220" s="11" t="n">
        <x:v>7</x:v>
      </x:c>
      <x:c r="T220" s="11" t="n">
        <x:v>7</x:v>
      </x:c>
      <x:c r="U220" s="12" t="n">
        <x:v>12.26</x:v>
      </x:c>
      <x:c r="V220" s="9" t="str">
        <x:v>src/_pytest/main.py</x:v>
      </x:c>
      <x:c r="W220" s="9" t="str"/>
      <x:c r="X220" s="9" t="str">
        <x:v>task_output-wsl/lite-baseline-001/instances/pytest-dev__pytest-6116/attempt-0001/state.json
task_output-wsl/lite-baseline-001/instances/pytest-dev__pytest-6116/attempt-0001/state.json</x:v>
      </x:c>
      <x:c r="Y220" s="2" t="str">
        <x:v>thinking
text</x:v>
      </x:c>
      <x:c r="Z220" s="11" t="n">
        <x:v>371</x:v>
      </x:c>
      <x:c r="AA220" s="11" t="n">
        <x:v>0</x:v>
      </x:c>
    </x:row>
    <x:row r="221" ht="37" customHeight="1">
      <x:c r="A221" s="2" t="str">
        <x:v>pytest-dev__pytest-7373</x:v>
      </x:c>
      <x:c r="B221" s="2" t="str">
        <x:v>pytest-dev/pytest</x:v>
      </x:c>
      <x:c r="C221" s="2" t="str">
        <x:v>resolved</x:v>
      </x:c>
      <x:c r="D221" s="2" t="str">
        <x:v>已解决</x:v>
      </x:c>
      <x:c r="E221" s="10" t="str">
        <x:v>gold通过，最新attempt未记录API终止、runner启动失败或评测基础设施终止；不代表原始全套测试零失败。</x:v>
      </x:c>
      <x:c r="F221" s="10" t="str"/>
      <x:c r="G221" s="2" t="str">
        <x:v>通过</x:v>
      </x:c>
      <x:c r="H221" s="2" t="str">
        <x:v>completed</x:v>
      </x:c>
      <x:c r="I221" s="11" t="n">
        <x:v>1</x:v>
      </x:c>
      <x:c r="J221" s="11" t="n">
        <x:v>1</x:v>
      </x:c>
      <x:c r="K221" s="11" t="str">
        <x:v>resolved</x:v>
      </x:c>
      <x:c r="L221" s="11" t="n">
        <x:v>1</x:v>
      </x:c>
      <x:c r="M221" s="11" t="n">
        <x:v>0</x:v>
      </x:c>
      <x:c r="N221" s="11" t="n">
        <x:v>81</x:v>
      </x:c>
      <x:c r="O221" s="11" t="n">
        <x:v>0</x:v>
      </x:c>
      <x:c r="P221" s="11" t="n">
        <x:v>68119</x:v>
      </x:c>
      <x:c r="Q221" s="11" t="n">
        <x:v>68119</x:v>
      </x:c>
      <x:c r="R221" s="11" t="n">
        <x:v>12</x:v>
      </x:c>
      <x:c r="S221" s="11" t="n">
        <x:v>12</x:v>
      </x:c>
      <x:c r="T221" s="11" t="n">
        <x:v>12</x:v>
      </x:c>
      <x:c r="U221" s="12" t="n">
        <x:v>25.388</x:v>
      </x:c>
      <x:c r="V221" s="9" t="str">
        <x:v>src/_pytest/mark/evaluate.py</x:v>
      </x:c>
      <x:c r="W221" s="9" t="str"/>
      <x:c r="X221" s="9" t="str">
        <x:v>task_output-wsl/lite-baseline-001/instances/pytest-dev__pytest-7373/attempt-0001/state.json
task_output-wsl/lite-baseline-001/instances/pytest-dev__pytest-7373/attempt-0001/state.json</x:v>
      </x:c>
      <x:c r="Y221" s="2" t="str">
        <x:v>thinking
text</x:v>
      </x:c>
      <x:c r="Z221" s="11" t="n">
        <x:v>182</x:v>
      </x:c>
      <x:c r="AA221" s="11" t="n">
        <x:v>0</x:v>
      </x:c>
    </x:row>
    <x:row r="222" ht="37" customHeight="1">
      <x:c r="A222" s="2" t="str">
        <x:v>pytest-dev__pytest-7432</x:v>
      </x:c>
      <x:c r="B222" s="2" t="str">
        <x:v>pytest-dev/pytest</x:v>
      </x:c>
      <x:c r="C222" s="2" t="str">
        <x:v>resolved</x:v>
      </x:c>
      <x:c r="D222" s="2" t="str">
        <x:v>已解决</x:v>
      </x:c>
      <x:c r="E222" s="10" t="str">
        <x:v>gold通过，最新attempt未记录API终止、runner启动失败或评测基础设施终止；不代表原始全套测试零失败。</x:v>
      </x:c>
      <x:c r="F222" s="10" t="str"/>
      <x:c r="G222" s="2" t="str">
        <x:v>通过</x:v>
      </x:c>
      <x:c r="H222" s="2" t="str">
        <x:v>completed</x:v>
      </x:c>
      <x:c r="I222" s="11" t="n">
        <x:v>1</x:v>
      </x:c>
      <x:c r="J222" s="11" t="n">
        <x:v>1</x:v>
      </x:c>
      <x:c r="K222" s="11" t="str">
        <x:v>resolved</x:v>
      </x:c>
      <x:c r="L222" s="11" t="n">
        <x:v>1</x:v>
      </x:c>
      <x:c r="M222" s="11" t="n">
        <x:v>0</x:v>
      </x:c>
      <x:c r="N222" s="11" t="n">
        <x:v>77</x:v>
      </x:c>
      <x:c r="O222" s="11" t="n">
        <x:v>0</x:v>
      </x:c>
      <x:c r="P222" s="11" t="n">
        <x:v>192405</x:v>
      </x:c>
      <x:c r="Q222" s="11" t="n">
        <x:v>192405</x:v>
      </x:c>
      <x:c r="R222" s="11" t="n">
        <x:v>19</x:v>
      </x:c>
      <x:c r="S222" s="11" t="n">
        <x:v>19</x:v>
      </x:c>
      <x:c r="T222" s="11" t="n">
        <x:v>19</x:v>
      </x:c>
      <x:c r="U222" s="12" t="n">
        <x:v>53.294</x:v>
      </x:c>
      <x:c r="V222" s="9" t="str">
        <x:v>src/_pytest/skipping.py
testing/test_skipping.py</x:v>
      </x:c>
      <x:c r="W222" s="9" t="str"/>
      <x:c r="X222" s="9" t="str">
        <x:v>task_output-wsl/lite-baseline-001/instances/pytest-dev__pytest-7432/attempt-0001/state.json
task_output-wsl/lite-baseline-001/instances/pytest-dev__pytest-7432/attempt-0001/state.json</x:v>
      </x:c>
      <x:c r="Y222" s="2" t="str">
        <x:v>thinking
text</x:v>
      </x:c>
      <x:c r="Z222" s="11" t="n">
        <x:v>267</x:v>
      </x:c>
      <x:c r="AA222" s="11" t="n">
        <x:v>0</x:v>
      </x:c>
    </x:row>
    <x:row r="223" ht="37" customHeight="1">
      <x:c r="A223" s="2" t="str">
        <x:v>pytest-dev__pytest-7490</x:v>
      </x:c>
      <x:c r="B223" s="2" t="str">
        <x:v>pytest-dev/pytest</x:v>
      </x:c>
      <x:c r="C223" s="2" t="str">
        <x:v>resolved</x:v>
      </x:c>
      <x:c r="D223" s="2" t="str">
        <x:v>已解决</x:v>
      </x:c>
      <x:c r="E223" s="10" t="str">
        <x:v>gold通过，最新attempt未记录API终止、runner启动失败或评测基础设施终止；不代表原始全套测试零失败。</x:v>
      </x:c>
      <x:c r="F223" s="10" t="str"/>
      <x:c r="G223" s="2" t="str">
        <x:v>通过</x:v>
      </x:c>
      <x:c r="H223" s="2" t="str">
        <x:v>limit</x:v>
      </x:c>
      <x:c r="I223" s="11" t="n">
        <x:v>1</x:v>
      </x:c>
      <x:c r="J223" s="11" t="n">
        <x:v>1</x:v>
      </x:c>
      <x:c r="K223" s="11" t="str">
        <x:v>resolved</x:v>
      </x:c>
      <x:c r="L223" s="11" t="n">
        <x:v>2</x:v>
      </x:c>
      <x:c r="M223" s="11" t="n">
        <x:v>0</x:v>
      </x:c>
      <x:c r="N223" s="11" t="n">
        <x:v>78</x:v>
      </x:c>
      <x:c r="O223" s="11" t="n">
        <x:v>0</x:v>
      </x:c>
      <x:c r="P223" s="11" t="n">
        <x:v>731885</x:v>
      </x:c>
      <x:c r="Q223" s="11" t="n">
        <x:v>731885</x:v>
      </x:c>
      <x:c r="R223" s="11" t="n">
        <x:v>65</x:v>
      </x:c>
      <x:c r="S223" s="11" t="n">
        <x:v>65</x:v>
      </x:c>
      <x:c r="T223" s="11" t="n">
        <x:v>60</x:v>
      </x:c>
      <x:c r="U223" s="12" t="n">
        <x:v>201.305</x:v>
      </x:c>
      <x:c r="V223" s="9" t="str">
        <x:v>changelog/7495.bugfix.rst
src/_pytest/skipping.py</x:v>
      </x:c>
      <x:c r="W223" s="9" t="str"/>
      <x:c r="X223" s="9" t="str">
        <x:v>task_output-wsl/lite-baseline-001/instances/pytest-dev__pytest-7490/attempt-0001/state.json
task_output-wsl/lite-baseline-001/instances/pytest-dev__pytest-7490/attempt-0001/state.json</x:v>
      </x:c>
      <x:c r="Y223" s="2" t="str">
        <x:v>thinking
tool_use</x:v>
      </x:c>
      <x:c r="Z223" s="11" t="n">
        <x:v>174</x:v>
      </x:c>
      <x:c r="AA223" s="11" t="n">
        <x:v>0</x:v>
      </x:c>
    </x:row>
    <x:row r="224" ht="37" customHeight="1">
      <x:c r="A224" s="2" t="str">
        <x:v>pytest-dev__pytest-8365</x:v>
      </x:c>
      <x:c r="B224" s="2" t="str">
        <x:v>pytest-dev/pytest</x:v>
      </x:c>
      <x:c r="C224" s="2" t="str">
        <x:v>resolved</x:v>
      </x:c>
      <x:c r="D224" s="2" t="str">
        <x:v>已解决</x:v>
      </x:c>
      <x:c r="E224" s="10" t="str">
        <x:v>gold通过，最新attempt未记录API终止、runner启动失败或评测基础设施终止；不代表原始全套测试零失败。</x:v>
      </x:c>
      <x:c r="F224" s="10" t="str"/>
      <x:c r="G224" s="2" t="str">
        <x:v>通过</x:v>
      </x:c>
      <x:c r="H224" s="2" t="str">
        <x:v>completed</x:v>
      </x:c>
      <x:c r="I224" s="11" t="n">
        <x:v>1</x:v>
      </x:c>
      <x:c r="J224" s="11" t="n">
        <x:v>1</x:v>
      </x:c>
      <x:c r="K224" s="11" t="str">
        <x:v>resolved</x:v>
      </x:c>
      <x:c r="L224" s="11" t="n">
        <x:v>1</x:v>
      </x:c>
      <x:c r="M224" s="11" t="n">
        <x:v>0</x:v>
      </x:c>
      <x:c r="N224" s="11" t="n">
        <x:v>32</x:v>
      </x:c>
      <x:c r="O224" s="11" t="n">
        <x:v>0</x:v>
      </x:c>
      <x:c r="P224" s="11" t="n">
        <x:v>194286</x:v>
      </x:c>
      <x:c r="Q224" s="11" t="n">
        <x:v>194286</x:v>
      </x:c>
      <x:c r="R224" s="11" t="n">
        <x:v>18</x:v>
      </x:c>
      <x:c r="S224" s="11" t="n">
        <x:v>18</x:v>
      </x:c>
      <x:c r="T224" s="11" t="n">
        <x:v>18</x:v>
      </x:c>
      <x:c r="U224" s="12" t="n">
        <x:v>54.78</x:v>
      </x:c>
      <x:c r="V224" s="9" t="str">
        <x:v>changelog/8317.bugfix.rst
src/_pytest/tmpdir.py</x:v>
      </x:c>
      <x:c r="W224" s="9" t="str"/>
      <x:c r="X224" s="9" t="str">
        <x:v>task_output-wsl/lite-baseline-001/instances/pytest-dev__pytest-8365/attempt-0001/state.json
task_output-wsl/lite-baseline-001/instances/pytest-dev__pytest-8365/attempt-0001/state.json</x:v>
      </x:c>
      <x:c r="Y224" s="2" t="str">
        <x:v>thinking
text</x:v>
      </x:c>
      <x:c r="Z224" s="11" t="n">
        <x:v>169</x:v>
      </x:c>
      <x:c r="AA224" s="11" t="n">
        <x:v>0</x:v>
      </x:c>
    </x:row>
    <x:row r="225" ht="37" customHeight="1">
      <x:c r="A225" s="2" t="str">
        <x:v>pytest-dev__pytest-8906</x:v>
      </x:c>
      <x:c r="B225" s="2" t="str">
        <x:v>pytest-dev/pytest</x:v>
      </x:c>
      <x:c r="C225" s="2" t="str">
        <x:v>resolved</x:v>
      </x:c>
      <x:c r="D225" s="2" t="str">
        <x:v>已解决</x:v>
      </x:c>
      <x:c r="E225" s="10" t="str">
        <x:v>gold通过，最新attempt未记录API终止、runner启动失败或评测基础设施终止；不代表原始全套测试零失败。</x:v>
      </x:c>
      <x:c r="F225" s="10" t="str"/>
      <x:c r="G225" s="2" t="str">
        <x:v>通过</x:v>
      </x:c>
      <x:c r="H225" s="2" t="str">
        <x:v>completed</x:v>
      </x:c>
      <x:c r="I225" s="11" t="n">
        <x:v>1</x:v>
      </x:c>
      <x:c r="J225" s="11" t="n">
        <x:v>1</x:v>
      </x:c>
      <x:c r="K225" s="11" t="str">
        <x:v>resolved</x:v>
      </x:c>
      <x:c r="L225" s="11" t="n">
        <x:v>1</x:v>
      </x:c>
      <x:c r="M225" s="11" t="n">
        <x:v>0</x:v>
      </x:c>
      <x:c r="N225" s="11" t="n">
        <x:v>84</x:v>
      </x:c>
      <x:c r="O225" s="11" t="n">
        <x:v>0</x:v>
      </x:c>
      <x:c r="P225" s="11" t="n">
        <x:v>232226</x:v>
      </x:c>
      <x:c r="Q225" s="11" t="n">
        <x:v>232226</x:v>
      </x:c>
      <x:c r="R225" s="11" t="n">
        <x:v>21</x:v>
      </x:c>
      <x:c r="S225" s="11" t="n">
        <x:v>21</x:v>
      </x:c>
      <x:c r="T225" s="11" t="n">
        <x:v>21</x:v>
      </x:c>
      <x:c r="U225" s="12" t="n">
        <x:v>78.029</x:v>
      </x:c>
      <x:c r="V225" s="9" t="str">
        <x:v>changelog/8432.improvement.rst
src/_pytest/python.py</x:v>
      </x:c>
      <x:c r="W225" s="9" t="str"/>
      <x:c r="X225" s="9" t="str">
        <x:v>task_output-wsl/lite-baseline-001/instances/pytest-dev__pytest-8906/attempt-0001/state.json
task_output-wsl/lite-baseline-001/instances/pytest-dev__pytest-8906/attempt-0001/state.json</x:v>
      </x:c>
      <x:c r="Y225" s="2" t="str">
        <x:v>thinking
text</x:v>
      </x:c>
      <x:c r="Z225" s="11" t="n">
        <x:v>210</x:v>
      </x:c>
      <x:c r="AA225" s="11" t="n">
        <x:v>0</x:v>
      </x:c>
    </x:row>
    <x:row r="226" ht="37" customHeight="1">
      <x:c r="A226" s="2" t="str">
        <x:v>pytest-dev__pytest-9359</x:v>
      </x:c>
      <x:c r="B226" s="2" t="str">
        <x:v>pytest-dev/pytest</x:v>
      </x:c>
      <x:c r="C226" s="2" t="str">
        <x:v>resolved</x:v>
      </x:c>
      <x:c r="D226" s="2" t="str">
        <x:v>已解决</x:v>
      </x:c>
      <x:c r="E226" s="10" t="str">
        <x:v>gold通过，最新attempt未记录API终止、runner启动失败或评测基础设施终止；不代表原始全套测试零失败。</x:v>
      </x:c>
      <x:c r="F226" s="10" t="str"/>
      <x:c r="G226" s="2" t="str">
        <x:v>通过</x:v>
      </x:c>
      <x:c r="H226" s="2" t="str">
        <x:v>completed</x:v>
      </x:c>
      <x:c r="I226" s="11" t="n">
        <x:v>1</x:v>
      </x:c>
      <x:c r="J226" s="11" t="n">
        <x:v>1</x:v>
      </x:c>
      <x:c r="K226" s="11" t="str">
        <x:v>resolved</x:v>
      </x:c>
      <x:c r="L226" s="11" t="n">
        <x:v>1</x:v>
      </x:c>
      <x:c r="M226" s="11" t="n">
        <x:v>0</x:v>
      </x:c>
      <x:c r="N226" s="11" t="n">
        <x:v>54</x:v>
      </x:c>
      <x:c r="O226" s="11" t="n">
        <x:v>0</x:v>
      </x:c>
      <x:c r="P226" s="11" t="n">
        <x:v>346357</x:v>
      </x:c>
      <x:c r="Q226" s="11" t="n">
        <x:v>346357</x:v>
      </x:c>
      <x:c r="R226" s="11" t="n">
        <x:v>32</x:v>
      </x:c>
      <x:c r="S226" s="11" t="n">
        <x:v>32</x:v>
      </x:c>
      <x:c r="T226" s="11" t="n">
        <x:v>31</x:v>
      </x:c>
      <x:c r="U226" s="12" t="n">
        <x:v>89.056</x:v>
      </x:c>
      <x:c r="V226" s="9" t="str">
        <x:v>src/_pytest/_code/source.py
testing/code/test_source.py</x:v>
      </x:c>
      <x:c r="W226" s="9" t="str"/>
      <x:c r="X226" s="9" t="str">
        <x:v>task_output-wsl/lite-baseline-001/instances/pytest-dev__pytest-9359/attempt-0001/state.json
task_output-wsl/lite-baseline-001/instances/pytest-dev__pytest-9359/attempt-0001/state.json</x:v>
      </x:c>
      <x:c r="Y226" s="2" t="str">
        <x:v>thinking
text</x:v>
      </x:c>
      <x:c r="Z226" s="11" t="n">
        <x:v>359</x:v>
      </x:c>
      <x:c r="AA226" s="11" t="n">
        <x:v>0</x:v>
      </x:c>
    </x:row>
    <x:row r="227" ht="37" customHeight="1">
      <x:c r="A227" s="2" t="str">
        <x:v>scikit-learn__scikit-learn-10297</x:v>
      </x:c>
      <x:c r="B227" s="2" t="str">
        <x:v>scikit-learn/scikit-learn</x:v>
      </x:c>
      <x:c r="C227" s="2" t="str">
        <x:v>resolved</x:v>
      </x:c>
      <x:c r="D227" s="2" t="str">
        <x:v>已解决</x:v>
      </x:c>
      <x:c r="E227" s="10" t="str">
        <x:v>gold通过，最新attempt未记录API终止、runner启动失败或评测基础设施终止；不代表原始全套测试零失败。</x:v>
      </x:c>
      <x:c r="F227" s="10" t="str"/>
      <x:c r="G227" s="2" t="str">
        <x:v>通过</x:v>
      </x:c>
      <x:c r="H227" s="2" t="str">
        <x:v>completed</x:v>
      </x:c>
      <x:c r="I227" s="11" t="n">
        <x:v>1</x:v>
      </x:c>
      <x:c r="J227" s="11" t="n">
        <x:v>1</x:v>
      </x:c>
      <x:c r="K227" s="11" t="str">
        <x:v>resolved</x:v>
      </x:c>
      <x:c r="L227" s="11" t="n">
        <x:v>1</x:v>
      </x:c>
      <x:c r="M227" s="11" t="n">
        <x:v>0</x:v>
      </x:c>
      <x:c r="N227" s="11" t="n">
        <x:v>28</x:v>
      </x:c>
      <x:c r="O227" s="11" t="n">
        <x:v>0</x:v>
      </x:c>
      <x:c r="P227" s="11" t="n">
        <x:v>188254</x:v>
      </x:c>
      <x:c r="Q227" s="11" t="n">
        <x:v>188254</x:v>
      </x:c>
      <x:c r="R227" s="11" t="n">
        <x:v>17</x:v>
      </x:c>
      <x:c r="S227" s="11" t="n">
        <x:v>17</x:v>
      </x:c>
      <x:c r="T227" s="11" t="n">
        <x:v>17</x:v>
      </x:c>
      <x:c r="U227" s="12" t="n">
        <x:v>47.783</x:v>
      </x:c>
      <x:c r="V227" s="9" t="str">
        <x:v>sklearn/linear_model/ridge.py</x:v>
      </x:c>
      <x:c r="W227" s="9" t="str"/>
      <x:c r="X227" s="9" t="str">
        <x:v>task_output-wsl/lite-baseline-001/instances/scikit-learn__scikit-learn-10297/attempt-0001/state.json
task_output-wsl/lite-baseline-001/instances/scikit-learn__scikit-learn-10297/attempt-0001/state.json</x:v>
      </x:c>
      <x:c r="Y227" s="2" t="str">
        <x:v>thinking
text</x:v>
      </x:c>
      <x:c r="Z227" s="11" t="n">
        <x:v>256</x:v>
      </x:c>
      <x:c r="AA227" s="11" t="n">
        <x:v>0</x:v>
      </x:c>
    </x:row>
    <x:row r="228" ht="37" customHeight="1">
      <x:c r="A228" s="2" t="str">
        <x:v>scikit-learn__scikit-learn-10508</x:v>
      </x:c>
      <x:c r="B228" s="2" t="str">
        <x:v>scikit-learn/scikit-learn</x:v>
      </x:c>
      <x:c r="C228" s="2" t="str">
        <x:v>resolved</x:v>
      </x:c>
      <x:c r="D228" s="2" t="str">
        <x:v>已解决</x:v>
      </x:c>
      <x:c r="E228" s="10" t="str">
        <x:v>gold通过，最新attempt未记录API终止、runner启动失败或评测基础设施终止；不代表原始全套测试零失败。</x:v>
      </x:c>
      <x:c r="F228" s="10" t="str"/>
      <x:c r="G228" s="2" t="str">
        <x:v>通过</x:v>
      </x:c>
      <x:c r="H228" s="2" t="str">
        <x:v>completed</x:v>
      </x:c>
      <x:c r="I228" s="11" t="n">
        <x:v>1</x:v>
      </x:c>
      <x:c r="J228" s="11" t="n">
        <x:v>1</x:v>
      </x:c>
      <x:c r="K228" s="11" t="str">
        <x:v>resolved</x:v>
      </x:c>
      <x:c r="L228" s="11" t="n">
        <x:v>2</x:v>
      </x:c>
      <x:c r="M228" s="11" t="n">
        <x:v>0</x:v>
      </x:c>
      <x:c r="N228" s="11" t="n">
        <x:v>18</x:v>
      </x:c>
      <x:c r="O228" s="11" t="n">
        <x:v>0</x:v>
      </x:c>
      <x:c r="P228" s="11" t="n">
        <x:v>90541</x:v>
      </x:c>
      <x:c r="Q228" s="11" t="n">
        <x:v>90541</x:v>
      </x:c>
      <x:c r="R228" s="11" t="n">
        <x:v>9</x:v>
      </x:c>
      <x:c r="S228" s="11" t="n">
        <x:v>9</x:v>
      </x:c>
      <x:c r="T228" s="11" t="n">
        <x:v>9</x:v>
      </x:c>
      <x:c r="U228" s="12" t="n">
        <x:v>26.735</x:v>
      </x:c>
      <x:c r="V228" s="9" t="str">
        <x:v>sklearn/preprocessing/label.py</x:v>
      </x:c>
      <x:c r="W228" s="9" t="str"/>
      <x:c r="X228" s="9" t="str">
        <x:v>task_output-wsl/lite-baseline-001/instances/scikit-learn__scikit-learn-10508/attempt-0001/state.json
task_output-wsl/lite-baseline-001/instances/scikit-learn__scikit-learn-10508/attempt-0001/state.json</x:v>
      </x:c>
      <x:c r="Y228" s="2" t="str">
        <x:v>thinking
text</x:v>
      </x:c>
      <x:c r="Z228" s="11" t="n">
        <x:v>325</x:v>
      </x:c>
      <x:c r="AA228" s="11" t="n">
        <x:v>0</x:v>
      </x:c>
    </x:row>
    <x:row r="229" ht="37" customHeight="1">
      <x:c r="A229" s="2" t="str">
        <x:v>scikit-learn__scikit-learn-11281</x:v>
      </x:c>
      <x:c r="B229" s="2" t="str">
        <x:v>scikit-learn/scikit-learn</x:v>
      </x:c>
      <x:c r="C229" s="2" t="str">
        <x:v>resolved</x:v>
      </x:c>
      <x:c r="D229" s="2" t="str">
        <x:v>已解决</x:v>
      </x:c>
      <x:c r="E229" s="10" t="str">
        <x:v>gold通过，最新attempt未记录API终止、runner启动失败或评测基础设施终止；不代表原始全套测试零失败。</x:v>
      </x:c>
      <x:c r="F229" s="10" t="str"/>
      <x:c r="G229" s="2" t="str">
        <x:v>通过</x:v>
      </x:c>
      <x:c r="H229" s="2" t="str">
        <x:v>completed</x:v>
      </x:c>
      <x:c r="I229" s="11" t="n">
        <x:v>1</x:v>
      </x:c>
      <x:c r="J229" s="11" t="n">
        <x:v>1</x:v>
      </x:c>
      <x:c r="K229" s="11" t="str">
        <x:v>resolved</x:v>
      </x:c>
      <x:c r="L229" s="11" t="n">
        <x:v>2</x:v>
      </x:c>
      <x:c r="M229" s="11" t="n">
        <x:v>0</x:v>
      </x:c>
      <x:c r="N229" s="11" t="n">
        <x:v>43</x:v>
      </x:c>
      <x:c r="O229" s="11" t="n">
        <x:v>0</x:v>
      </x:c>
      <x:c r="P229" s="11" t="n">
        <x:v>309791</x:v>
      </x:c>
      <x:c r="Q229" s="11" t="n">
        <x:v>309791</x:v>
      </x:c>
      <x:c r="R229" s="11" t="n">
        <x:v>28</x:v>
      </x:c>
      <x:c r="S229" s="11" t="n">
        <x:v>28</x:v>
      </x:c>
      <x:c r="T229" s="11" t="n">
        <x:v>27</x:v>
      </x:c>
      <x:c r="U229" s="12" t="n">
        <x:v>79.783</x:v>
      </x:c>
      <x:c r="V229" s="9" t="str">
        <x:v>sklearn/mixture/base.py</x:v>
      </x:c>
      <x:c r="W229" s="9" t="str"/>
      <x:c r="X229" s="9" t="str">
        <x:v>task_output-wsl/lite-baseline-001/instances/scikit-learn__scikit-learn-11281/attempt-0001/state.json
task_output-wsl/lite-baseline-001/instances/scikit-learn__scikit-learn-11281/attempt-0001/state.json</x:v>
      </x:c>
      <x:c r="Y229" s="2" t="str">
        <x:v>thinking
text</x:v>
      </x:c>
      <x:c r="Z229" s="11" t="n">
        <x:v>283</x:v>
      </x:c>
      <x:c r="AA229" s="11" t="n">
        <x:v>0</x:v>
      </x:c>
    </x:row>
    <x:row r="230" ht="37" customHeight="1">
      <x:c r="A230" s="2" t="str">
        <x:v>scikit-learn__scikit-learn-12471</x:v>
      </x:c>
      <x:c r="B230" s="2" t="str">
        <x:v>scikit-learn/scikit-learn</x:v>
      </x:c>
      <x:c r="C230" s="2" t="str">
        <x:v>resolved</x:v>
      </x:c>
      <x:c r="D230" s="2" t="str">
        <x:v>已解决</x:v>
      </x:c>
      <x:c r="E230" s="10" t="str">
        <x:v>gold通过，最新attempt未记录API终止、runner启动失败或评测基础设施终止；不代表原始全套测试零失败。</x:v>
      </x:c>
      <x:c r="F230" s="10" t="str"/>
      <x:c r="G230" s="2" t="str">
        <x:v>通过</x:v>
      </x:c>
      <x:c r="H230" s="2" t="str">
        <x:v>completed</x:v>
      </x:c>
      <x:c r="I230" s="11" t="n">
        <x:v>1</x:v>
      </x:c>
      <x:c r="J230" s="11" t="n">
        <x:v>1</x:v>
      </x:c>
      <x:c r="K230" s="11" t="str">
        <x:v>resolved</x:v>
      </x:c>
      <x:c r="L230" s="11" t="n">
        <x:v>1</x:v>
      </x:c>
      <x:c r="M230" s="11" t="n">
        <x:v>0</x:v>
      </x:c>
      <x:c r="N230" s="11" t="n">
        <x:v>53</x:v>
      </x:c>
      <x:c r="O230" s="11" t="n">
        <x:v>0</x:v>
      </x:c>
      <x:c r="P230" s="11" t="n">
        <x:v>137782</x:v>
      </x:c>
      <x:c r="Q230" s="11" t="n">
        <x:v>137782</x:v>
      </x:c>
      <x:c r="R230" s="11" t="n">
        <x:v>15</x:v>
      </x:c>
      <x:c r="S230" s="11" t="n">
        <x:v>15</x:v>
      </x:c>
      <x:c r="T230" s="11" t="n">
        <x:v>15</x:v>
      </x:c>
      <x:c r="U230" s="12" t="n">
        <x:v>37.865</x:v>
      </x:c>
      <x:c r="V230" s="9" t="str">
        <x:v>sklearn/preprocessing/_encoders.py</x:v>
      </x:c>
      <x:c r="W230" s="9" t="str"/>
      <x:c r="X230" s="9" t="str">
        <x:v>task_output-wsl/lite-baseline-001/instances/scikit-learn__scikit-learn-12471/attempt-0001/state.json
task_output-wsl/lite-baseline-001/instances/scikit-learn__scikit-learn-12471/attempt-0001/state.json</x:v>
      </x:c>
      <x:c r="Y230" s="2" t="str">
        <x:v>thinking
text</x:v>
      </x:c>
      <x:c r="Z230" s="11" t="n">
        <x:v>234</x:v>
      </x:c>
      <x:c r="AA230" s="11" t="n">
        <x:v>0</x:v>
      </x:c>
    </x:row>
    <x:row r="231" ht="37" customHeight="1">
      <x:c r="A231" s="2" t="str">
        <x:v>scikit-learn__scikit-learn-13142</x:v>
      </x:c>
      <x:c r="B231" s="2" t="str">
        <x:v>scikit-learn/scikit-learn</x:v>
      </x:c>
      <x:c r="C231" s="2" t="str">
        <x:v>resolved</x:v>
      </x:c>
      <x:c r="D231" s="2" t="str">
        <x:v>已解决</x:v>
      </x:c>
      <x:c r="E231" s="10" t="str">
        <x:v>gold通过，最新attempt未记录API终止、runner启动失败或评测基础设施终止；不代表原始全套测试零失败。</x:v>
      </x:c>
      <x:c r="F231" s="10" t="str"/>
      <x:c r="G231" s="2" t="str">
        <x:v>通过</x:v>
      </x:c>
      <x:c r="H231" s="2" t="str">
        <x:v>completed</x:v>
      </x:c>
      <x:c r="I231" s="11" t="n">
        <x:v>1</x:v>
      </x:c>
      <x:c r="J231" s="11" t="n">
        <x:v>1</x:v>
      </x:c>
      <x:c r="K231" s="11" t="str">
        <x:v>resolved</x:v>
      </x:c>
      <x:c r="L231" s="11" t="n">
        <x:v>2</x:v>
      </x:c>
      <x:c r="M231" s="11" t="n">
        <x:v>0</x:v>
      </x:c>
      <x:c r="N231" s="11" t="n">
        <x:v>54</x:v>
      </x:c>
      <x:c r="O231" s="11" t="n">
        <x:v>0</x:v>
      </x:c>
      <x:c r="P231" s="11" t="n">
        <x:v>79719</x:v>
      </x:c>
      <x:c r="Q231" s="11" t="n">
        <x:v>79719</x:v>
      </x:c>
      <x:c r="R231" s="11" t="n">
        <x:v>9</x:v>
      </x:c>
      <x:c r="S231" s="11" t="n">
        <x:v>9</x:v>
      </x:c>
      <x:c r="T231" s="11" t="n">
        <x:v>9</x:v>
      </x:c>
      <x:c r="U231" s="12" t="n">
        <x:v>24.253</x:v>
      </x:c>
      <x:c r="V231" s="9" t="str">
        <x:v>sklearn/mixture/base.py</x:v>
      </x:c>
      <x:c r="W231" s="9" t="str"/>
      <x:c r="X231" s="9" t="str">
        <x:v>task_output-wsl/lite-baseline-001/instances/scikit-learn__scikit-learn-13142/attempt-0001/state.json
task_output-wsl/lite-baseline-001/instances/scikit-learn__scikit-learn-13142/attempt-0001/state.json</x:v>
      </x:c>
      <x:c r="Y231" s="2" t="str">
        <x:v>thinking
text</x:v>
      </x:c>
      <x:c r="Z231" s="11" t="n">
        <x:v>145</x:v>
      </x:c>
      <x:c r="AA231" s="11" t="n">
        <x:v>0</x:v>
      </x:c>
    </x:row>
    <x:row r="232" ht="37" customHeight="1">
      <x:c r="A232" s="2" t="str">
        <x:v>scikit-learn__scikit-learn-13241</x:v>
      </x:c>
      <x:c r="B232" s="2" t="str">
        <x:v>scikit-learn/scikit-learn</x:v>
      </x:c>
      <x:c r="C232" s="2" t="str">
        <x:v>resolved</x:v>
      </x:c>
      <x:c r="D232" s="2" t="str">
        <x:v>已解决</x:v>
      </x:c>
      <x:c r="E232" s="10" t="str">
        <x:v>gold通过，最新attempt未记录API终止、runner启动失败或评测基础设施终止；不代表原始全套测试零失败。</x:v>
      </x:c>
      <x:c r="F232" s="10" t="str"/>
      <x:c r="G232" s="2" t="str">
        <x:v>通过</x:v>
      </x:c>
      <x:c r="H232" s="2" t="str">
        <x:v>completed</x:v>
      </x:c>
      <x:c r="I232" s="11" t="n">
        <x:v>1</x:v>
      </x:c>
      <x:c r="J232" s="11" t="n">
        <x:v>1</x:v>
      </x:c>
      <x:c r="K232" s="11" t="str">
        <x:v>resolved</x:v>
      </x:c>
      <x:c r="L232" s="11" t="n">
        <x:v>1</x:v>
      </x:c>
      <x:c r="M232" s="11" t="n">
        <x:v>0</x:v>
      </x:c>
      <x:c r="N232" s="11" t="n">
        <x:v>54</x:v>
      </x:c>
      <x:c r="O232" s="11" t="n">
        <x:v>0</x:v>
      </x:c>
      <x:c r="P232" s="11" t="n">
        <x:v>139312</x:v>
      </x:c>
      <x:c r="Q232" s="11" t="n">
        <x:v>139312</x:v>
      </x:c>
      <x:c r="R232" s="11" t="n">
        <x:v>13</x:v>
      </x:c>
      <x:c r="S232" s="11" t="n">
        <x:v>13</x:v>
      </x:c>
      <x:c r="T232" s="11" t="n">
        <x:v>13</x:v>
      </x:c>
      <x:c r="U232" s="12" t="n">
        <x:v>40.275</x:v>
      </x:c>
      <x:c r="V232" s="9" t="str">
        <x:v>sklearn/decomposition/kernel_pca.py</x:v>
      </x:c>
      <x:c r="W232" s="9" t="str"/>
      <x:c r="X232" s="9" t="str">
        <x:v>task_output-wsl/lite-baseline-001/instances/scikit-learn__scikit-learn-13241/attempt-0001/state.json
task_output-wsl/lite-baseline-001/instances/scikit-learn__scikit-learn-13241/attempt-0001/state.json</x:v>
      </x:c>
      <x:c r="Y232" s="2" t="str">
        <x:v>thinking
text</x:v>
      </x:c>
      <x:c r="Z232" s="11" t="n">
        <x:v>316</x:v>
      </x:c>
      <x:c r="AA232" s="11" t="n">
        <x:v>0</x:v>
      </x:c>
    </x:row>
    <x:row r="233" ht="37" customHeight="1">
      <x:c r="A233" s="2" t="str">
        <x:v>scikit-learn__scikit-learn-13439</x:v>
      </x:c>
      <x:c r="B233" s="2" t="str">
        <x:v>scikit-learn/scikit-learn</x:v>
      </x:c>
      <x:c r="C233" s="2" t="str">
        <x:v>resolved</x:v>
      </x:c>
      <x:c r="D233" s="2" t="str">
        <x:v>已解决</x:v>
      </x:c>
      <x:c r="E233" s="10" t="str">
        <x:v>gold通过，最新attempt未记录API终止、runner启动失败或评测基础设施终止；不代表原始全套测试零失败。</x:v>
      </x:c>
      <x:c r="F233" s="10" t="str"/>
      <x:c r="G233" s="2" t="str">
        <x:v>通过</x:v>
      </x:c>
      <x:c r="H233" s="2" t="str">
        <x:v>completed</x:v>
      </x:c>
      <x:c r="I233" s="11" t="n">
        <x:v>1</x:v>
      </x:c>
      <x:c r="J233" s="11" t="n">
        <x:v>1</x:v>
      </x:c>
      <x:c r="K233" s="11" t="str">
        <x:v>resolved</x:v>
      </x:c>
      <x:c r="L233" s="11" t="n">
        <x:v>1</x:v>
      </x:c>
      <x:c r="M233" s="11" t="n">
        <x:v>0</x:v>
      </x:c>
      <x:c r="N233" s="11" t="n">
        <x:v>40</x:v>
      </x:c>
      <x:c r="O233" s="11" t="n">
        <x:v>0</x:v>
      </x:c>
      <x:c r="P233" s="11" t="n">
        <x:v>116477</x:v>
      </x:c>
      <x:c r="Q233" s="11" t="n">
        <x:v>116477</x:v>
      </x:c>
      <x:c r="R233" s="11" t="n">
        <x:v>13</x:v>
      </x:c>
      <x:c r="S233" s="11" t="n">
        <x:v>13</x:v>
      </x:c>
      <x:c r="T233" s="11" t="n">
        <x:v>13</x:v>
      </x:c>
      <x:c r="U233" s="12" t="n">
        <x:v>21.722</x:v>
      </x:c>
      <x:c r="V233" s="9" t="str">
        <x:v>sklearn/pipeline.py</x:v>
      </x:c>
      <x:c r="W233" s="9" t="str"/>
      <x:c r="X233" s="9" t="str">
        <x:v>task_output-wsl/lite-baseline-001/instances/scikit-learn__scikit-learn-13439/attempt-0001/state.json
task_output-wsl/lite-baseline-001/instances/scikit-learn__scikit-learn-13439/attempt-0001/state.json</x:v>
      </x:c>
      <x:c r="Y233" s="2" t="str">
        <x:v>thinking
text</x:v>
      </x:c>
      <x:c r="Z233" s="11" t="n">
        <x:v>79</x:v>
      </x:c>
      <x:c r="AA233" s="11" t="n">
        <x:v>0</x:v>
      </x:c>
    </x:row>
    <x:row r="234" ht="37" customHeight="1">
      <x:c r="A234" s="2" t="str">
        <x:v>scikit-learn__scikit-learn-13496</x:v>
      </x:c>
      <x:c r="B234" s="2" t="str">
        <x:v>scikit-learn/scikit-learn</x:v>
      </x:c>
      <x:c r="C234" s="2" t="str">
        <x:v>resolved</x:v>
      </x:c>
      <x:c r="D234" s="2" t="str">
        <x:v>已解决</x:v>
      </x:c>
      <x:c r="E234" s="10" t="str">
        <x:v>gold通过，最新attempt未记录API终止、runner启动失败或评测基础设施终止；不代表原始全套测试零失败。</x:v>
      </x:c>
      <x:c r="F234" s="10" t="str"/>
      <x:c r="G234" s="2" t="str">
        <x:v>通过</x:v>
      </x:c>
      <x:c r="H234" s="2" t="str">
        <x:v>completed</x:v>
      </x:c>
      <x:c r="I234" s="11" t="n">
        <x:v>1</x:v>
      </x:c>
      <x:c r="J234" s="11" t="n">
        <x:v>1</x:v>
      </x:c>
      <x:c r="K234" s="11" t="str">
        <x:v>resolved</x:v>
      </x:c>
      <x:c r="L234" s="11" t="n">
        <x:v>1</x:v>
      </x:c>
      <x:c r="M234" s="11" t="n">
        <x:v>0</x:v>
      </x:c>
      <x:c r="N234" s="11" t="n">
        <x:v>19</x:v>
      </x:c>
      <x:c r="O234" s="11" t="n">
        <x:v>0</x:v>
      </x:c>
      <x:c r="P234" s="11" t="n">
        <x:v>187061</x:v>
      </x:c>
      <x:c r="Q234" s="11" t="n">
        <x:v>187061</x:v>
      </x:c>
      <x:c r="R234" s="11" t="n">
        <x:v>18</x:v>
      </x:c>
      <x:c r="S234" s="11" t="n">
        <x:v>18</x:v>
      </x:c>
      <x:c r="T234" s="11" t="n">
        <x:v>18</x:v>
      </x:c>
      <x:c r="U234" s="12" t="n">
        <x:v>55.597</x:v>
      </x:c>
      <x:c r="V234" s="9" t="str">
        <x:v>sklearn/ensemble/iforest.py</x:v>
      </x:c>
      <x:c r="W234" s="9" t="str"/>
      <x:c r="X234" s="9" t="str">
        <x:v>task_output-wsl/lite-baseline-001/instances/scikit-learn__scikit-learn-13496/attempt-0001/state.json
task_output-wsl/lite-baseline-001/instances/scikit-learn__scikit-learn-13496/attempt-0001/state.json</x:v>
      </x:c>
      <x:c r="Y234" s="2" t="str">
        <x:v>thinking
text</x:v>
      </x:c>
      <x:c r="Z234" s="11" t="n">
        <x:v>410</x:v>
      </x:c>
      <x:c r="AA234" s="11" t="n">
        <x:v>0</x:v>
      </x:c>
    </x:row>
    <x:row r="235" ht="37" customHeight="1">
      <x:c r="A235" s="2" t="str">
        <x:v>scikit-learn__scikit-learn-13497</x:v>
      </x:c>
      <x:c r="B235" s="2" t="str">
        <x:v>scikit-learn/scikit-learn</x:v>
      </x:c>
      <x:c r="C235" s="2" t="str">
        <x:v>resolved</x:v>
      </x:c>
      <x:c r="D235" s="2" t="str">
        <x:v>已解决</x:v>
      </x:c>
      <x:c r="E235" s="10" t="str">
        <x:v>gold通过，最新attempt未记录API终止、runner启动失败或评测基础设施终止；不代表原始全套测试零失败。</x:v>
      </x:c>
      <x:c r="F235" s="10" t="str"/>
      <x:c r="G235" s="2" t="str">
        <x:v>通过</x:v>
      </x:c>
      <x:c r="H235" s="2" t="str">
        <x:v>completed</x:v>
      </x:c>
      <x:c r="I235" s="11" t="n">
        <x:v>1</x:v>
      </x:c>
      <x:c r="J235" s="11" t="n">
        <x:v>1</x:v>
      </x:c>
      <x:c r="K235" s="11" t="str">
        <x:v>resolved</x:v>
      </x:c>
      <x:c r="L235" s="11" t="n">
        <x:v>1</x:v>
      </x:c>
      <x:c r="M235" s="11" t="n">
        <x:v>0</x:v>
      </x:c>
      <x:c r="N235" s="11" t="n">
        <x:v>7</x:v>
      </x:c>
      <x:c r="O235" s="11" t="n">
        <x:v>0</x:v>
      </x:c>
      <x:c r="P235" s="11" t="n">
        <x:v>118590</x:v>
      </x:c>
      <x:c r="Q235" s="11" t="n">
        <x:v>118590</x:v>
      </x:c>
      <x:c r="R235" s="11" t="n">
        <x:v>12</x:v>
      </x:c>
      <x:c r="S235" s="11" t="n">
        <x:v>12</x:v>
      </x:c>
      <x:c r="T235" s="11" t="n">
        <x:v>12</x:v>
      </x:c>
      <x:c r="U235" s="12" t="n">
        <x:v>29.508</x:v>
      </x:c>
      <x:c r="V235" s="9" t="str">
        <x:v>sklearn/feature_selection/mutual_info_.py</x:v>
      </x:c>
      <x:c r="W235" s="9" t="str"/>
      <x:c r="X235" s="9" t="str">
        <x:v>task_output-wsl/lite-baseline-001/instances/scikit-learn__scikit-learn-13497/attempt-0001/state.json
task_output-wsl/lite-baseline-001/instances/scikit-learn__scikit-learn-13497/attempt-0001/state.json</x:v>
      </x:c>
      <x:c r="Y235" s="2" t="str">
        <x:v>thinking
text</x:v>
      </x:c>
      <x:c r="Z235" s="11" t="n">
        <x:v>169</x:v>
      </x:c>
      <x:c r="AA235" s="11" t="n">
        <x:v>0</x:v>
      </x:c>
    </x:row>
    <x:row r="236" ht="37" customHeight="1">
      <x:c r="A236" s="2" t="str">
        <x:v>scikit-learn__scikit-learn-13584</x:v>
      </x:c>
      <x:c r="B236" s="2" t="str">
        <x:v>scikit-learn/scikit-learn</x:v>
      </x:c>
      <x:c r="C236" s="2" t="str">
        <x:v>resolved</x:v>
      </x:c>
      <x:c r="D236" s="2" t="str">
        <x:v>已解决</x:v>
      </x:c>
      <x:c r="E236" s="10" t="str">
        <x:v>gold通过，最新attempt未记录API终止、runner启动失败或评测基础设施终止；不代表原始全套测试零失败。</x:v>
      </x:c>
      <x:c r="F236" s="10" t="str"/>
      <x:c r="G236" s="2" t="str">
        <x:v>通过</x:v>
      </x:c>
      <x:c r="H236" s="2" t="str">
        <x:v>completed</x:v>
      </x:c>
      <x:c r="I236" s="11" t="n">
        <x:v>1</x:v>
      </x:c>
      <x:c r="J236" s="11" t="n">
        <x:v>1</x:v>
      </x:c>
      <x:c r="K236" s="11" t="str">
        <x:v>resolved</x:v>
      </x:c>
      <x:c r="L236" s="11" t="n">
        <x:v>6</x:v>
      </x:c>
      <x:c r="M236" s="11" t="n">
        <x:v>0</x:v>
      </x:c>
      <x:c r="N236" s="11" t="n">
        <x:v>3</x:v>
      </x:c>
      <x:c r="O236" s="11" t="n">
        <x:v>0</x:v>
      </x:c>
      <x:c r="P236" s="11" t="n">
        <x:v>78391</x:v>
      </x:c>
      <x:c r="Q236" s="11" t="n">
        <x:v>78391</x:v>
      </x:c>
      <x:c r="R236" s="11" t="n">
        <x:v>10</x:v>
      </x:c>
      <x:c r="S236" s="11" t="n">
        <x:v>10</x:v>
      </x:c>
      <x:c r="T236" s="11" t="n">
        <x:v>10</x:v>
      </x:c>
      <x:c r="U236" s="12" t="n">
        <x:v>19.136</x:v>
      </x:c>
      <x:c r="V236" s="9" t="str">
        <x:v>sklearn/utils/_pprint.py</x:v>
      </x:c>
      <x:c r="W236" s="9" t="str"/>
      <x:c r="X236" s="9" t="str">
        <x:v>task_output-wsl/lite-baseline-001/instances/scikit-learn__scikit-learn-13584/attempt-0001/state.json
task_output-wsl/lite-baseline-001/instances/scikit-learn__scikit-learn-13584/attempt-0001/state.json</x:v>
      </x:c>
      <x:c r="Y236" s="2" t="str">
        <x:v>thinking
text</x:v>
      </x:c>
      <x:c r="Z236" s="11" t="n">
        <x:v>186</x:v>
      </x:c>
      <x:c r="AA236" s="11" t="n">
        <x:v>0</x:v>
      </x:c>
    </x:row>
    <x:row r="237" ht="37" customHeight="1">
      <x:c r="A237" s="2" t="str">
        <x:v>scikit-learn__scikit-learn-13779</x:v>
      </x:c>
      <x:c r="B237" s="2" t="str">
        <x:v>scikit-learn/scikit-learn</x:v>
      </x:c>
      <x:c r="C237" s="2" t="str">
        <x:v>resolved</x:v>
      </x:c>
      <x:c r="D237" s="2" t="str">
        <x:v>已解决</x:v>
      </x:c>
      <x:c r="E237" s="10" t="str">
        <x:v>gold通过，最新attempt未记录API终止、runner启动失败或评测基础设施终止；不代表原始全套测试零失败。</x:v>
      </x:c>
      <x:c r="F237" s="10" t="str"/>
      <x:c r="G237" s="2" t="str">
        <x:v>通过</x:v>
      </x:c>
      <x:c r="H237" s="2" t="str">
        <x:v>completed</x:v>
      </x:c>
      <x:c r="I237" s="11" t="n">
        <x:v>1</x:v>
      </x:c>
      <x:c r="J237" s="11" t="n">
        <x:v>1</x:v>
      </x:c>
      <x:c r="K237" s="11" t="str">
        <x:v>resolved</x:v>
      </x:c>
      <x:c r="L237" s="11" t="n">
        <x:v>2</x:v>
      </x:c>
      <x:c r="M237" s="11" t="n">
        <x:v>0</x:v>
      </x:c>
      <x:c r="N237" s="11" t="n">
        <x:v>18</x:v>
      </x:c>
      <x:c r="O237" s="11" t="n">
        <x:v>0</x:v>
      </x:c>
      <x:c r="P237" s="11" t="n">
        <x:v>109313</x:v>
      </x:c>
      <x:c r="Q237" s="11" t="n">
        <x:v>109313</x:v>
      </x:c>
      <x:c r="R237" s="11" t="n">
        <x:v>12</x:v>
      </x:c>
      <x:c r="S237" s="11" t="n">
        <x:v>12</x:v>
      </x:c>
      <x:c r="T237" s="11" t="n">
        <x:v>12</x:v>
      </x:c>
      <x:c r="U237" s="12" t="n">
        <x:v>22.099</x:v>
      </x:c>
      <x:c r="V237" s="9" t="str">
        <x:v>sklearn/ensemble/voting.py</x:v>
      </x:c>
      <x:c r="W237" s="9" t="str"/>
      <x:c r="X237" s="9" t="str">
        <x:v>task_output-wsl/lite-baseline-001/instances/scikit-learn__scikit-learn-13779/attempt-0001/state.json
task_output-wsl/lite-baseline-001/instances/scikit-learn__scikit-learn-13779/attempt-0001/state.json</x:v>
      </x:c>
      <x:c r="Y237" s="2" t="str">
        <x:v>thinking
text</x:v>
      </x:c>
      <x:c r="Z237" s="11" t="n">
        <x:v>90</x:v>
      </x:c>
      <x:c r="AA237" s="11" t="n">
        <x:v>0</x:v>
      </x:c>
    </x:row>
    <x:row r="238" ht="37" customHeight="1">
      <x:c r="A238" s="2" t="str">
        <x:v>scikit-learn__scikit-learn-14087</x:v>
      </x:c>
      <x:c r="B238" s="2" t="str">
        <x:v>scikit-learn/scikit-learn</x:v>
      </x:c>
      <x:c r="C238" s="2" t="str">
        <x:v>resolved</x:v>
      </x:c>
      <x:c r="D238" s="2" t="str">
        <x:v>已解决</x:v>
      </x:c>
      <x:c r="E238" s="10" t="str">
        <x:v>gold通过，最新attempt未记录API终止、runner启动失败或评测基础设施终止；不代表原始全套测试零失败。</x:v>
      </x:c>
      <x:c r="F238" s="10" t="str"/>
      <x:c r="G238" s="2" t="str">
        <x:v>通过</x:v>
      </x:c>
      <x:c r="H238" s="2" t="str">
        <x:v>completed</x:v>
      </x:c>
      <x:c r="I238" s="11" t="n">
        <x:v>1</x:v>
      </x:c>
      <x:c r="J238" s="11" t="n">
        <x:v>1</x:v>
      </x:c>
      <x:c r="K238" s="11" t="str">
        <x:v>resolved</x:v>
      </x:c>
      <x:c r="L238" s="11" t="n">
        <x:v>3</x:v>
      </x:c>
      <x:c r="M238" s="11" t="n">
        <x:v>0</x:v>
      </x:c>
      <x:c r="N238" s="11" t="n">
        <x:v>172</x:v>
      </x:c>
      <x:c r="O238" s="11" t="n">
        <x:v>0</x:v>
      </x:c>
      <x:c r="P238" s="11" t="n">
        <x:v>484267</x:v>
      </x:c>
      <x:c r="Q238" s="11" t="n">
        <x:v>484267</x:v>
      </x:c>
      <x:c r="R238" s="11" t="n">
        <x:v>41</x:v>
      </x:c>
      <x:c r="S238" s="11" t="n">
        <x:v>41</x:v>
      </x:c>
      <x:c r="T238" s="11" t="n">
        <x:v>40</x:v>
      </x:c>
      <x:c r="U238" s="12" t="n">
        <x:v>121.947</x:v>
      </x:c>
      <x:c r="V238" s="9" t="str">
        <x:v>sklearn/linear_model/logistic.py</x:v>
      </x:c>
      <x:c r="W238" s="9" t="str"/>
      <x:c r="X238" s="9" t="str">
        <x:v>task_output-wsl/lite-baseline-001/instances/scikit-learn__scikit-learn-14087/attempt-0001/state.json
task_output-wsl/lite-baseline-001/instances/scikit-learn__scikit-learn-14087/attempt-0001/state.json</x:v>
      </x:c>
      <x:c r="Y238" s="2" t="str">
        <x:v>thinking
text</x:v>
      </x:c>
      <x:c r="Z238" s="11" t="n">
        <x:v>179</x:v>
      </x:c>
      <x:c r="AA238" s="11" t="n">
        <x:v>0</x:v>
      </x:c>
    </x:row>
    <x:row r="239" ht="37" customHeight="1">
      <x:c r="A239" s="2" t="str">
        <x:v>scikit-learn__scikit-learn-14092</x:v>
      </x:c>
      <x:c r="B239" s="2" t="str">
        <x:v>scikit-learn/scikit-learn</x:v>
      </x:c>
      <x:c r="C239" s="2" t="str">
        <x:v>resolved</x:v>
      </x:c>
      <x:c r="D239" s="2" t="str">
        <x:v>已解决</x:v>
      </x:c>
      <x:c r="E239" s="10" t="str">
        <x:v>gold通过，最新attempt未记录API终止、runner启动失败或评测基础设施终止；不代表原始全套测试零失败。</x:v>
      </x:c>
      <x:c r="F239" s="10" t="str"/>
      <x:c r="G239" s="2" t="str">
        <x:v>通过</x:v>
      </x:c>
      <x:c r="H239" s="2" t="str">
        <x:v>completed</x:v>
      </x:c>
      <x:c r="I239" s="11" t="n">
        <x:v>1</x:v>
      </x:c>
      <x:c r="J239" s="11" t="n">
        <x:v>1</x:v>
      </x:c>
      <x:c r="K239" s="11" t="str">
        <x:v>resolved</x:v>
      </x:c>
      <x:c r="L239" s="11" t="n">
        <x:v>3</x:v>
      </x:c>
      <x:c r="M239" s="11" t="n">
        <x:v>0</x:v>
      </x:c>
      <x:c r="N239" s="11" t="n">
        <x:v>212</x:v>
      </x:c>
      <x:c r="O239" s="11" t="n">
        <x:v>0</x:v>
      </x:c>
      <x:c r="P239" s="11" t="n">
        <x:v>287069</x:v>
      </x:c>
      <x:c r="Q239" s="11" t="n">
        <x:v>287069</x:v>
      </x:c>
      <x:c r="R239" s="11" t="n">
        <x:v>25</x:v>
      </x:c>
      <x:c r="S239" s="11" t="n">
        <x:v>25</x:v>
      </x:c>
      <x:c r="T239" s="11" t="n">
        <x:v>25</x:v>
      </x:c>
      <x:c r="U239" s="12" t="n">
        <x:v>53.351</x:v>
      </x:c>
      <x:c r="V239" s="9" t="str">
        <x:v>sklearn/neighbors/nca.py</x:v>
      </x:c>
      <x:c r="W239" s="9" t="str"/>
      <x:c r="X239" s="9" t="str">
        <x:v>task_output-wsl/lite-baseline-001/instances/scikit-learn__scikit-learn-14092/attempt-0001/state.json
task_output-wsl/lite-baseline-001/instances/scikit-learn__scikit-learn-14092/attempt-0001/state.json</x:v>
      </x:c>
      <x:c r="Y239" s="2" t="str">
        <x:v>thinking
text</x:v>
      </x:c>
      <x:c r="Z239" s="11" t="n">
        <x:v>208</x:v>
      </x:c>
      <x:c r="AA239" s="11" t="n">
        <x:v>0</x:v>
      </x:c>
    </x:row>
    <x:row r="240" ht="37" customHeight="1">
      <x:c r="A240" s="2" t="str">
        <x:v>scikit-learn__scikit-learn-14894</x:v>
      </x:c>
      <x:c r="B240" s="2" t="str">
        <x:v>scikit-learn/scikit-learn</x:v>
      </x:c>
      <x:c r="C240" s="2" t="str">
        <x:v>resolved</x:v>
      </x:c>
      <x:c r="D240" s="2" t="str">
        <x:v>已解决</x:v>
      </x:c>
      <x:c r="E240" s="10" t="str">
        <x:v>gold通过，最新attempt未记录API终止、runner启动失败或评测基础设施终止；不代表原始全套测试零失败。</x:v>
      </x:c>
      <x:c r="F240" s="10" t="str"/>
      <x:c r="G240" s="2" t="str">
        <x:v>通过</x:v>
      </x:c>
      <x:c r="H240" s="2" t="str">
        <x:v>completed</x:v>
      </x:c>
      <x:c r="I240" s="11" t="n">
        <x:v>1</x:v>
      </x:c>
      <x:c r="J240" s="11" t="n">
        <x:v>1</x:v>
      </x:c>
      <x:c r="K240" s="11" t="str">
        <x:v>resolved</x:v>
      </x:c>
      <x:c r="L240" s="11" t="n">
        <x:v>1</x:v>
      </x:c>
      <x:c r="M240" s="11" t="n">
        <x:v>0</x:v>
      </x:c>
      <x:c r="N240" s="11" t="n">
        <x:v>85</x:v>
      </x:c>
      <x:c r="O240" s="11" t="n">
        <x:v>0</x:v>
      </x:c>
      <x:c r="P240" s="11" t="n">
        <x:v>150172</x:v>
      </x:c>
      <x:c r="Q240" s="11" t="n">
        <x:v>150172</x:v>
      </x:c>
      <x:c r="R240" s="11" t="n">
        <x:v>16</x:v>
      </x:c>
      <x:c r="S240" s="11" t="n">
        <x:v>16</x:v>
      </x:c>
      <x:c r="T240" s="11" t="n">
        <x:v>16</x:v>
      </x:c>
      <x:c r="U240" s="12" t="n">
        <x:v>36.271</x:v>
      </x:c>
      <x:c r="V240" s="9" t="str">
        <x:v>sklearn/svm/base.py</x:v>
      </x:c>
      <x:c r="W240" s="9" t="str"/>
      <x:c r="X240" s="9" t="str">
        <x:v>task_output-wsl/lite-baseline-001/instances/scikit-learn__scikit-learn-14894/attempt-0001/state.json
task_output-wsl/lite-baseline-001/instances/scikit-learn__scikit-learn-14894/attempt-0001/state.json</x:v>
      </x:c>
      <x:c r="Y240" s="2" t="str">
        <x:v>thinking
text</x:v>
      </x:c>
      <x:c r="Z240" s="11" t="n">
        <x:v>184</x:v>
      </x:c>
      <x:c r="AA240" s="11" t="n">
        <x:v>0</x:v>
      </x:c>
    </x:row>
    <x:row r="241" ht="37" customHeight="1">
      <x:c r="A241" s="2" t="str">
        <x:v>scikit-learn__scikit-learn-14983</x:v>
      </x:c>
      <x:c r="B241" s="2" t="str">
        <x:v>scikit-learn/scikit-learn</x:v>
      </x:c>
      <x:c r="C241" s="2" t="str">
        <x:v>resolved</x:v>
      </x:c>
      <x:c r="D241" s="2" t="str">
        <x:v>已解决</x:v>
      </x:c>
      <x:c r="E241" s="10" t="str">
        <x:v>gold通过，最新attempt未记录API终止、runner启动失败或评测基础设施终止；不代表原始全套测试零失败。</x:v>
      </x:c>
      <x:c r="F241" s="10" t="str"/>
      <x:c r="G241" s="2" t="str">
        <x:v>通过</x:v>
      </x:c>
      <x:c r="H241" s="2" t="str">
        <x:v>completed</x:v>
      </x:c>
      <x:c r="I241" s="11" t="n">
        <x:v>1</x:v>
      </x:c>
      <x:c r="J241" s="11" t="n">
        <x:v>1</x:v>
      </x:c>
      <x:c r="K241" s="11" t="str">
        <x:v>resolved</x:v>
      </x:c>
      <x:c r="L241" s="11" t="n">
        <x:v>2</x:v>
      </x:c>
      <x:c r="M241" s="11" t="n">
        <x:v>0</x:v>
      </x:c>
      <x:c r="N241" s="11" t="n">
        <x:v>105</x:v>
      </x:c>
      <x:c r="O241" s="11" t="n">
        <x:v>0</x:v>
      </x:c>
      <x:c r="P241" s="11" t="n">
        <x:v>283903</x:v>
      </x:c>
      <x:c r="Q241" s="11" t="n">
        <x:v>283903</x:v>
      </x:c>
      <x:c r="R241" s="11" t="n">
        <x:v>29</x:v>
      </x:c>
      <x:c r="S241" s="11" t="n">
        <x:v>29</x:v>
      </x:c>
      <x:c r="T241" s="11" t="n">
        <x:v>29</x:v>
      </x:c>
      <x:c r="U241" s="12" t="n">
        <x:v>54.697</x:v>
      </x:c>
      <x:c r="V241" s="9" t="str">
        <x:v>sklearn/model_selection/_split.py</x:v>
      </x:c>
      <x:c r="W241" s="9" t="str"/>
      <x:c r="X241" s="9" t="str">
        <x:v>task_output-wsl/lite-baseline-001/instances/scikit-learn__scikit-learn-14983/attempt-0001/state.json
task_output-wsl/lite-baseline-001/instances/scikit-learn__scikit-learn-14983/attempt-0001/state.json</x:v>
      </x:c>
      <x:c r="Y241" s="2" t="str">
        <x:v>thinking
text</x:v>
      </x:c>
      <x:c r="Z241" s="11" t="n">
        <x:v>175</x:v>
      </x:c>
      <x:c r="AA241" s="11" t="n">
        <x:v>0</x:v>
      </x:c>
    </x:row>
    <x:row r="242" ht="37" customHeight="1">
      <x:c r="A242" s="2" t="str">
        <x:v>scikit-learn__scikit-learn-15512</x:v>
      </x:c>
      <x:c r="B242" s="2" t="str">
        <x:v>scikit-learn/scikit-learn</x:v>
      </x:c>
      <x:c r="C242" s="2" t="str">
        <x:v>resolved</x:v>
      </x:c>
      <x:c r="D242" s="2" t="str">
        <x:v>已解决</x:v>
      </x:c>
      <x:c r="E242" s="10" t="str">
        <x:v>gold通过，最新attempt未记录API终止、runner启动失败或评测基础设施终止；不代表原始全套测试零失败。</x:v>
      </x:c>
      <x:c r="F242" s="10" t="str"/>
      <x:c r="G242" s="2" t="str">
        <x:v>通过</x:v>
      </x:c>
      <x:c r="H242" s="2" t="str">
        <x:v>completed</x:v>
      </x:c>
      <x:c r="I242" s="11" t="n">
        <x:v>1</x:v>
      </x:c>
      <x:c r="J242" s="11" t="n">
        <x:v>1</x:v>
      </x:c>
      <x:c r="K242" s="11" t="str">
        <x:v>resolved</x:v>
      </x:c>
      <x:c r="L242" s="11" t="n">
        <x:v>1</x:v>
      </x:c>
      <x:c r="M242" s="11" t="n">
        <x:v>0</x:v>
      </x:c>
      <x:c r="N242" s="11" t="n">
        <x:v>9</x:v>
      </x:c>
      <x:c r="O242" s="11" t="n">
        <x:v>0</x:v>
      </x:c>
      <x:c r="P242" s="11" t="n">
        <x:v>125192</x:v>
      </x:c>
      <x:c r="Q242" s="11" t="n">
        <x:v>125192</x:v>
      </x:c>
      <x:c r="R242" s="11" t="n">
        <x:v>12</x:v>
      </x:c>
      <x:c r="S242" s="11" t="n">
        <x:v>12</x:v>
      </x:c>
      <x:c r="T242" s="11" t="n">
        <x:v>12</x:v>
      </x:c>
      <x:c r="U242" s="12" t="n">
        <x:v>38.267</x:v>
      </x:c>
      <x:c r="V242" s="9" t="str">
        <x:v>sklearn/cluster/_affinity_propagation.py</x:v>
      </x:c>
      <x:c r="W242" s="9" t="str"/>
      <x:c r="X242" s="9" t="str">
        <x:v>task_output-wsl/lite-baseline-001/instances/scikit-learn__scikit-learn-15512/attempt-0001/state.json
task_output-wsl/lite-baseline-001/instances/scikit-learn__scikit-learn-15512/attempt-0001/state.json</x:v>
      </x:c>
      <x:c r="Y242" s="2" t="str">
        <x:v>thinking
text</x:v>
      </x:c>
      <x:c r="Z242" s="11" t="n">
        <x:v>365</x:v>
      </x:c>
      <x:c r="AA242" s="11" t="n">
        <x:v>0</x:v>
      </x:c>
    </x:row>
    <x:row r="243" ht="37" customHeight="1">
      <x:c r="A243" s="2" t="str">
        <x:v>scikit-learn__scikit-learn-15535</x:v>
      </x:c>
      <x:c r="B243" s="2" t="str">
        <x:v>scikit-learn/scikit-learn</x:v>
      </x:c>
      <x:c r="C243" s="2" t="str">
        <x:v>resolved</x:v>
      </x:c>
      <x:c r="D243" s="2" t="str">
        <x:v>已解决</x:v>
      </x:c>
      <x:c r="E243" s="10" t="str">
        <x:v>gold通过，最新attempt未记录API终止、runner启动失败或评测基础设施终止；不代表原始全套测试零失败。</x:v>
      </x:c>
      <x:c r="F243" s="10" t="str"/>
      <x:c r="G243" s="2" t="str">
        <x:v>通过</x:v>
      </x:c>
      <x:c r="H243" s="2" t="str">
        <x:v>completed</x:v>
      </x:c>
      <x:c r="I243" s="11" t="n">
        <x:v>1</x:v>
      </x:c>
      <x:c r="J243" s="11" t="n">
        <x:v>1</x:v>
      </x:c>
      <x:c r="K243" s="11" t="str">
        <x:v>resolved</x:v>
      </x:c>
      <x:c r="L243" s="11" t="n">
        <x:v>8</x:v>
      </x:c>
      <x:c r="M243" s="11" t="n">
        <x:v>0</x:v>
      </x:c>
      <x:c r="N243" s="11" t="n">
        <x:v>52</x:v>
      </x:c>
      <x:c r="O243" s="11" t="n">
        <x:v>0</x:v>
      </x:c>
      <x:c r="P243" s="11" t="n">
        <x:v>96122</x:v>
      </x:c>
      <x:c r="Q243" s="11" t="n">
        <x:v>96122</x:v>
      </x:c>
      <x:c r="R243" s="11" t="n">
        <x:v>11</x:v>
      </x:c>
      <x:c r="S243" s="11" t="n">
        <x:v>11</x:v>
      </x:c>
      <x:c r="T243" s="11" t="n">
        <x:v>11</x:v>
      </x:c>
      <x:c r="U243" s="12" t="n">
        <x:v>21.947</x:v>
      </x:c>
      <x:c r="V243" s="9" t="str">
        <x:v>sklearn/metrics/cluster/_supervised.py</x:v>
      </x:c>
      <x:c r="W243" s="9" t="str"/>
      <x:c r="X243" s="9" t="str">
        <x:v>task_output-wsl/lite-baseline-001/instances/scikit-learn__scikit-learn-15535/attempt-0001/state.json
task_output-wsl/lite-baseline-001/instances/scikit-learn__scikit-learn-15535/attempt-0001/state.json</x:v>
      </x:c>
      <x:c r="Y243" s="2" t="str">
        <x:v>thinking
text</x:v>
      </x:c>
      <x:c r="Z243" s="11" t="n">
        <x:v>202</x:v>
      </x:c>
      <x:c r="AA243" s="11" t="n">
        <x:v>0</x:v>
      </x:c>
    </x:row>
    <x:row r="244" ht="37" customHeight="1">
      <x:c r="A244" s="2" t="str">
        <x:v>scikit-learn__scikit-learn-25500</x:v>
      </x:c>
      <x:c r="B244" s="2" t="str">
        <x:v>scikit-learn/scikit-learn</x:v>
      </x:c>
      <x:c r="C244" s="2" t="str">
        <x:v>resolved</x:v>
      </x:c>
      <x:c r="D244" s="2" t="str">
        <x:v>已解决</x:v>
      </x:c>
      <x:c r="E244" s="10" t="str">
        <x:v>gold通过，最新attempt未记录API终止、runner启动失败或评测基础设施终止；不代表原始全套测试零失败。</x:v>
      </x:c>
      <x:c r="F244" s="10" t="str"/>
      <x:c r="G244" s="2" t="str">
        <x:v>通过</x:v>
      </x:c>
      <x:c r="H244" s="2" t="str">
        <x:v>completed</x:v>
      </x:c>
      <x:c r="I244" s="11" t="n">
        <x:v>1</x:v>
      </x:c>
      <x:c r="J244" s="11" t="n">
        <x:v>1</x:v>
      </x:c>
      <x:c r="K244" s="11" t="str">
        <x:v>resolved</x:v>
      </x:c>
      <x:c r="L244" s="11" t="n">
        <x:v>1</x:v>
      </x:c>
      <x:c r="M244" s="11" t="n">
        <x:v>0</x:v>
      </x:c>
      <x:c r="N244" s="11" t="n">
        <x:v>45</x:v>
      </x:c>
      <x:c r="O244" s="11" t="n">
        <x:v>0</x:v>
      </x:c>
      <x:c r="P244" s="11" t="n">
        <x:v>358873</x:v>
      </x:c>
      <x:c r="Q244" s="11" t="n">
        <x:v>358873</x:v>
      </x:c>
      <x:c r="R244" s="11" t="n">
        <x:v>32</x:v>
      </x:c>
      <x:c r="S244" s="11" t="n">
        <x:v>32</x:v>
      </x:c>
      <x:c r="T244" s="11" t="n">
        <x:v>32</x:v>
      </x:c>
      <x:c r="U244" s="12" t="n">
        <x:v>67.483</x:v>
      </x:c>
      <x:c r="V244" s="9" t="str">
        <x:v>sklearn/isotonic.py</x:v>
      </x:c>
      <x:c r="W244" s="9" t="str"/>
      <x:c r="X244" s="9" t="str">
        <x:v>task_output-wsl/lite-baseline-001/instances/scikit-learn__scikit-learn-25500/attempt-0001/state.json
task_output-wsl/lite-baseline-001/instances/scikit-learn__scikit-learn-25500/attempt-0001/state.json</x:v>
      </x:c>
      <x:c r="Y244" s="2" t="str">
        <x:v>thinking
text</x:v>
      </x:c>
      <x:c r="Z244" s="11" t="n">
        <x:v>227</x:v>
      </x:c>
      <x:c r="AA244" s="11" t="n">
        <x:v>0</x:v>
      </x:c>
    </x:row>
    <x:row r="245" ht="37" customHeight="1">
      <x:c r="A245" s="2" t="str">
        <x:v>scikit-learn__scikit-learn-25570</x:v>
      </x:c>
      <x:c r="B245" s="2" t="str">
        <x:v>scikit-learn/scikit-learn</x:v>
      </x:c>
      <x:c r="C245" s="2" t="str">
        <x:v>resolved</x:v>
      </x:c>
      <x:c r="D245" s="2" t="str">
        <x:v>已解决</x:v>
      </x:c>
      <x:c r="E245" s="10" t="str">
        <x:v>gold通过，最新attempt未记录API终止、runner启动失败或评测基础设施终止；不代表原始全套测试零失败。</x:v>
      </x:c>
      <x:c r="F245" s="10" t="str"/>
      <x:c r="G245" s="2" t="str">
        <x:v>通过</x:v>
      </x:c>
      <x:c r="H245" s="2" t="str">
        <x:v>completed</x:v>
      </x:c>
      <x:c r="I245" s="11" t="n">
        <x:v>1</x:v>
      </x:c>
      <x:c r="J245" s="11" t="n">
        <x:v>1</x:v>
      </x:c>
      <x:c r="K245" s="11" t="str">
        <x:v>resolved</x:v>
      </x:c>
      <x:c r="L245" s="11" t="n">
        <x:v>3</x:v>
      </x:c>
      <x:c r="M245" s="11" t="n">
        <x:v>0</x:v>
      </x:c>
      <x:c r="N245" s="11" t="n">
        <x:v>184</x:v>
      </x:c>
      <x:c r="O245" s="11" t="n">
        <x:v>0</x:v>
      </x:c>
      <x:c r="P245" s="11" t="n">
        <x:v>601888</x:v>
      </x:c>
      <x:c r="Q245" s="11" t="n">
        <x:v>601888</x:v>
      </x:c>
      <x:c r="R245" s="11" t="n">
        <x:v>53</x:v>
      </x:c>
      <x:c r="S245" s="11" t="n">
        <x:v>53</x:v>
      </x:c>
      <x:c r="T245" s="11" t="n">
        <x:v>50</x:v>
      </x:c>
      <x:c r="U245" s="12" t="n">
        <x:v>151.066</x:v>
      </x:c>
      <x:c r="V245" s="9" t="str">
        <x:v>sklearn/compose/_column_transformer.py</x:v>
      </x:c>
      <x:c r="W245" s="9" t="str"/>
      <x:c r="X245" s="9" t="str">
        <x:v>task_output-wsl/lite-baseline-001/instances/scikit-learn__scikit-learn-25570/attempt-0001/state.json
task_output-wsl/lite-baseline-001/instances/scikit-learn__scikit-learn-25570/attempt-0001/state.json</x:v>
      </x:c>
      <x:c r="Y245" s="2" t="str">
        <x:v>thinking
text</x:v>
      </x:c>
      <x:c r="Z245" s="11" t="n">
        <x:v>788</x:v>
      </x:c>
      <x:c r="AA245" s="11" t="n">
        <x:v>0</x:v>
      </x:c>
    </x:row>
    <x:row r="246" ht="37" customHeight="1">
      <x:c r="A246" s="2" t="str">
        <x:v>scikit-learn__scikit-learn-25638</x:v>
      </x:c>
      <x:c r="B246" s="2" t="str">
        <x:v>scikit-learn/scikit-learn</x:v>
      </x:c>
      <x:c r="C246" s="2" t="str">
        <x:v>resolved</x:v>
      </x:c>
      <x:c r="D246" s="2" t="str">
        <x:v>已解决</x:v>
      </x:c>
      <x:c r="E246" s="10" t="str">
        <x:v>gold通过，最新attempt未记录API终止、runner启动失败或评测基础设施终止；不代表原始全套测试零失败。</x:v>
      </x:c>
      <x:c r="F246" s="10" t="str"/>
      <x:c r="G246" s="2" t="str">
        <x:v>通过</x:v>
      </x:c>
      <x:c r="H246" s="2" t="str">
        <x:v>completed</x:v>
      </x:c>
      <x:c r="I246" s="11" t="n">
        <x:v>1</x:v>
      </x:c>
      <x:c r="J246" s="11" t="n">
        <x:v>1</x:v>
      </x:c>
      <x:c r="K246" s="11" t="str">
        <x:v>resolved</x:v>
      </x:c>
      <x:c r="L246" s="11" t="n">
        <x:v>10</x:v>
      </x:c>
      <x:c r="M246" s="11" t="n">
        <x:v>0</x:v>
      </x:c>
      <x:c r="N246" s="11" t="n">
        <x:v>194</x:v>
      </x:c>
      <x:c r="O246" s="11" t="n">
        <x:v>0</x:v>
      </x:c>
      <x:c r="P246" s="11" t="n">
        <x:v>524511</x:v>
      </x:c>
      <x:c r="Q246" s="11" t="n">
        <x:v>524511</x:v>
      </x:c>
      <x:c r="R246" s="11" t="n">
        <x:v>42</x:v>
      </x:c>
      <x:c r="S246" s="11" t="n">
        <x:v>42</x:v>
      </x:c>
      <x:c r="T246" s="11" t="n">
        <x:v>42</x:v>
      </x:c>
      <x:c r="U246" s="12" t="n">
        <x:v>106.068</x:v>
      </x:c>
      <x:c r="V246" s="9" t="str">
        <x:v>sklearn/utils/multiclass.py</x:v>
      </x:c>
      <x:c r="W246" s="9" t="str"/>
      <x:c r="X246" s="9" t="str">
        <x:v>task_output-wsl/lite-baseline-001/instances/scikit-learn__scikit-learn-25638/attempt-0001/state.json
task_output-wsl/lite-baseline-001/instances/scikit-learn__scikit-learn-25638/attempt-0001/state.json</x:v>
      </x:c>
      <x:c r="Y246" s="2" t="str">
        <x:v>thinking
text</x:v>
      </x:c>
      <x:c r="Z246" s="11" t="n">
        <x:v>218</x:v>
      </x:c>
      <x:c r="AA246" s="11" t="n">
        <x:v>0</x:v>
      </x:c>
    </x:row>
    <x:row r="247" ht="37" customHeight="1">
      <x:c r="A247" s="2" t="str">
        <x:v>scikit-learn__scikit-learn-25747</x:v>
      </x:c>
      <x:c r="B247" s="2" t="str">
        <x:v>scikit-learn/scikit-learn</x:v>
      </x:c>
      <x:c r="C247" s="2" t="str">
        <x:v>resolved</x:v>
      </x:c>
      <x:c r="D247" s="2" t="str">
        <x:v>已解决</x:v>
      </x:c>
      <x:c r="E247" s="10" t="str">
        <x:v>gold通过，最新attempt未记录API终止、runner启动失败或评测基础设施终止；不代表原始全套测试零失败。</x:v>
      </x:c>
      <x:c r="F247" s="10" t="str"/>
      <x:c r="G247" s="2" t="str">
        <x:v>通过</x:v>
      </x:c>
      <x:c r="H247" s="2" t="str">
        <x:v>completed</x:v>
      </x:c>
      <x:c r="I247" s="11" t="n">
        <x:v>1</x:v>
      </x:c>
      <x:c r="J247" s="11" t="n">
        <x:v>1</x:v>
      </x:c>
      <x:c r="K247" s="11" t="str">
        <x:v>resolved</x:v>
      </x:c>
      <x:c r="L247" s="11" t="n">
        <x:v>1</x:v>
      </x:c>
      <x:c r="M247" s="11" t="n">
        <x:v>0</x:v>
      </x:c>
      <x:c r="N247" s="11" t="n">
        <x:v>14</x:v>
      </x:c>
      <x:c r="O247" s="11" t="n">
        <x:v>0</x:v>
      </x:c>
      <x:c r="P247" s="11" t="n">
        <x:v>259112</x:v>
      </x:c>
      <x:c r="Q247" s="11" t="n">
        <x:v>259112</x:v>
      </x:c>
      <x:c r="R247" s="11" t="n">
        <x:v>25</x:v>
      </x:c>
      <x:c r="S247" s="11" t="n">
        <x:v>25</x:v>
      </x:c>
      <x:c r="T247" s="11" t="n">
        <x:v>23</x:v>
      </x:c>
      <x:c r="U247" s="12" t="n">
        <x:v>120.548</x:v>
      </x:c>
      <x:c r="V247" s="9" t="str">
        <x:v>sklearn/utils/_set_output.py</x:v>
      </x:c>
      <x:c r="W247" s="9" t="str"/>
      <x:c r="X247" s="9" t="str">
        <x:v>task_output-wsl/lite-baseline-001/instances/scikit-learn__scikit-learn-25747/attempt-0001/state.json
task_output-wsl/lite-baseline-001/instances/scikit-learn__scikit-learn-25747/attempt-0001/state.json</x:v>
      </x:c>
      <x:c r="Y247" s="2" t="str">
        <x:v>thinking
text</x:v>
      </x:c>
      <x:c r="Z247" s="11" t="n">
        <x:v>274</x:v>
      </x:c>
      <x:c r="AA247" s="11" t="n">
        <x:v>0</x:v>
      </x:c>
    </x:row>
    <x:row r="248" ht="51" customHeight="1">
      <x:c r="A248" s="2" t="str">
        <x:v>sphinx-doc__sphinx-10325</x:v>
      </x:c>
      <x:c r="B248" s="2" t="str">
        <x:v>sphinx-doc/sphinx</x:v>
      </x:c>
      <x:c r="C248" s="2" t="str">
        <x:v>resolved</x:v>
      </x:c>
      <x:c r="D248" s="2" t="str">
        <x:v>已解决</x:v>
      </x:c>
      <x:c r="E248" s="10" t="str">
        <x:v>gold通过，最新attempt未记录API终止、runner启动失败或评测基础设施终止；不代表原始全套测试零失败。</x:v>
      </x:c>
      <x:c r="F248" s="10" t="str"/>
      <x:c r="G248" s="2" t="str">
        <x:v>通过</x:v>
      </x:c>
      <x:c r="H248" s="2" t="str">
        <x:v>limit</x:v>
      </x:c>
      <x:c r="I248" s="11" t="n">
        <x:v>1</x:v>
      </x:c>
      <x:c r="J248" s="11" t="n">
        <x:v>1</x:v>
      </x:c>
      <x:c r="K248" s="11" t="str">
        <x:v>resolved</x:v>
      </x:c>
      <x:c r="L248" s="11" t="n">
        <x:v>1</x:v>
      </x:c>
      <x:c r="M248" s="11" t="n">
        <x:v>0</x:v>
      </x:c>
      <x:c r="N248" s="11" t="n">
        <x:v>5</x:v>
      </x:c>
      <x:c r="O248" s="11" t="n">
        <x:v>0</x:v>
      </x:c>
      <x:c r="P248" s="11" t="n">
        <x:v>704172</x:v>
      </x:c>
      <x:c r="Q248" s="11" t="n">
        <x:v>704172</x:v>
      </x:c>
      <x:c r="R248" s="11" t="n">
        <x:v>60</x:v>
      </x:c>
      <x:c r="S248" s="11" t="n">
        <x:v>60</x:v>
      </x:c>
      <x:c r="T248" s="11" t="n">
        <x:v>60</x:v>
      </x:c>
      <x:c r="U248" s="12" t="n">
        <x:v>111.02</x:v>
      </x:c>
      <x:c r="V248" s="9" t="str">
        <x:v>CHANGES
doc/usage/extensions/autodoc.rst
sphinx/ext/autodoc/__init__.py</x:v>
      </x:c>
      <x:c r="W248" s="9" t="str"/>
      <x:c r="X248" s="9" t="str">
        <x:v>task_output-wsl/lite-baseline-001/instances/sphinx-doc__sphinx-10325/attempt-0001/state.json
task_output-wsl/lite-baseline-001/instances/sphinx-doc__sphinx-10325/attempt-0001/state.json</x:v>
      </x:c>
      <x:c r="Y248" s="2" t="str">
        <x:v>thinking
tool_use</x:v>
      </x:c>
      <x:c r="Z248" s="11" t="n">
        <x:v>418</x:v>
      </x:c>
      <x:c r="AA248" s="11" t="n">
        <x:v>0</x:v>
      </x:c>
    </x:row>
    <x:row r="249" ht="37" customHeight="1">
      <x:c r="A249" s="2" t="str">
        <x:v>sphinx-doc__sphinx-11445</x:v>
      </x:c>
      <x:c r="B249" s="2" t="str">
        <x:v>sphinx-doc/sphinx</x:v>
      </x:c>
      <x:c r="C249" s="2" t="str">
        <x:v>resolved</x:v>
      </x:c>
      <x:c r="D249" s="2" t="str">
        <x:v>已解决</x:v>
      </x:c>
      <x:c r="E249" s="10" t="str">
        <x:v>gold通过，最新attempt未记录API终止、runner启动失败或评测基础设施终止；不代表原始全套测试零失败。</x:v>
      </x:c>
      <x:c r="F249" s="10" t="str"/>
      <x:c r="G249" s="2" t="str">
        <x:v>通过</x:v>
      </x:c>
      <x:c r="H249" s="2" t="str">
        <x:v>completed</x:v>
      </x:c>
      <x:c r="I249" s="11" t="n">
        <x:v>1</x:v>
      </x:c>
      <x:c r="J249" s="11" t="n">
        <x:v>1</x:v>
      </x:c>
      <x:c r="K249" s="11" t="str">
        <x:v>resolved</x:v>
      </x:c>
      <x:c r="L249" s="11" t="n">
        <x:v>2</x:v>
      </x:c>
      <x:c r="M249" s="11" t="n">
        <x:v>0</x:v>
      </x:c>
      <x:c r="N249" s="11" t="n">
        <x:v>8</x:v>
      </x:c>
      <x:c r="O249" s="11" t="n">
        <x:v>0</x:v>
      </x:c>
      <x:c r="P249" s="11" t="n">
        <x:v>407872</x:v>
      </x:c>
      <x:c r="Q249" s="11" t="n">
        <x:v>407872</x:v>
      </x:c>
      <x:c r="R249" s="11" t="n">
        <x:v>41</x:v>
      </x:c>
      <x:c r="S249" s="11" t="n">
        <x:v>41</x:v>
      </x:c>
      <x:c r="T249" s="11" t="n">
        <x:v>40</x:v>
      </x:c>
      <x:c r="U249" s="12" t="n">
        <x:v>111.655</x:v>
      </x:c>
      <x:c r="V249" s="9" t="str">
        <x:v>sphinx/util/rst.py</x:v>
      </x:c>
      <x:c r="W249" s="9" t="str"/>
      <x:c r="X249" s="9" t="str">
        <x:v>task_output-wsl/lite-baseline-001/instances/sphinx-doc__sphinx-11445/attempt-0001/state.json
task_output-wsl/lite-baseline-001/instances/sphinx-doc__sphinx-11445/attempt-0001/state.json</x:v>
      </x:c>
      <x:c r="Y249" s="2" t="str">
        <x:v>thinking
text</x:v>
      </x:c>
      <x:c r="Z249" s="11" t="n">
        <x:v>249</x:v>
      </x:c>
      <x:c r="AA249" s="11" t="n">
        <x:v>0</x:v>
      </x:c>
    </x:row>
    <x:row r="250" ht="37" customHeight="1">
      <x:c r="A250" s="2" t="str">
        <x:v>sphinx-doc__sphinx-7738</x:v>
      </x:c>
      <x:c r="B250" s="2" t="str">
        <x:v>sphinx-doc/sphinx</x:v>
      </x:c>
      <x:c r="C250" s="2" t="str">
        <x:v>resolved</x:v>
      </x:c>
      <x:c r="D250" s="2" t="str">
        <x:v>已解决</x:v>
      </x:c>
      <x:c r="E250" s="10" t="str">
        <x:v>gold通过，最新attempt未记录API终止、runner启动失败或评测基础设施终止；不代表原始全套测试零失败。</x:v>
      </x:c>
      <x:c r="F250" s="10" t="str"/>
      <x:c r="G250" s="2" t="str">
        <x:v>通过</x:v>
      </x:c>
      <x:c r="H250" s="2" t="str">
        <x:v>completed</x:v>
      </x:c>
      <x:c r="I250" s="11" t="n">
        <x:v>1</x:v>
      </x:c>
      <x:c r="J250" s="11" t="n">
        <x:v>1</x:v>
      </x:c>
      <x:c r="K250" s="11" t="str">
        <x:v>resolved</x:v>
      </x:c>
      <x:c r="L250" s="11" t="n">
        <x:v>1</x:v>
      </x:c>
      <x:c r="M250" s="11" t="n">
        <x:v>0</x:v>
      </x:c>
      <x:c r="N250" s="11" t="n">
        <x:v>30</x:v>
      </x:c>
      <x:c r="O250" s="11" t="n">
        <x:v>0</x:v>
      </x:c>
      <x:c r="P250" s="11" t="n">
        <x:v>306477</x:v>
      </x:c>
      <x:c r="Q250" s="11" t="n">
        <x:v>306477</x:v>
      </x:c>
      <x:c r="R250" s="11" t="n">
        <x:v>28</x:v>
      </x:c>
      <x:c r="S250" s="11" t="n">
        <x:v>28</x:v>
      </x:c>
      <x:c r="T250" s="11" t="n">
        <x:v>28</x:v>
      </x:c>
      <x:c r="U250" s="12" t="n">
        <x:v>53.862</x:v>
      </x:c>
      <x:c r="V250" s="9" t="str">
        <x:v>sphinx/ext/napoleon/docstring.py</x:v>
      </x:c>
      <x:c r="W250" s="9" t="str"/>
      <x:c r="X250" s="9" t="str">
        <x:v>task_output-wsl/lite-baseline-001/instances/sphinx-doc__sphinx-7738/attempt-0001/state.json
task_output-wsl/lite-baseline-001/instances/sphinx-doc__sphinx-7738/attempt-0001/state.json</x:v>
      </x:c>
      <x:c r="Y250" s="2" t="str">
        <x:v>thinking
text</x:v>
      </x:c>
      <x:c r="Z250" s="11" t="n">
        <x:v>265</x:v>
      </x:c>
      <x:c r="AA250" s="11" t="n">
        <x:v>0</x:v>
      </x:c>
    </x:row>
    <x:row r="251" ht="37" customHeight="1">
      <x:c r="A251" s="2" t="str">
        <x:v>sphinx-doc__sphinx-7975</x:v>
      </x:c>
      <x:c r="B251" s="2" t="str">
        <x:v>sphinx-doc/sphinx</x:v>
      </x:c>
      <x:c r="C251" s="2" t="str">
        <x:v>resolved</x:v>
      </x:c>
      <x:c r="D251" s="2" t="str">
        <x:v>已解决</x:v>
      </x:c>
      <x:c r="E251" s="10" t="str">
        <x:v>gold通过，最新attempt未记录API终止、runner启动失败或评测基础设施终止；不代表原始全套测试零失败。</x:v>
      </x:c>
      <x:c r="F251" s="10" t="str"/>
      <x:c r="G251" s="2" t="str">
        <x:v>通过</x:v>
      </x:c>
      <x:c r="H251" s="2" t="str">
        <x:v>completed</x:v>
      </x:c>
      <x:c r="I251" s="11" t="n">
        <x:v>1</x:v>
      </x:c>
      <x:c r="J251" s="11" t="n">
        <x:v>1</x:v>
      </x:c>
      <x:c r="K251" s="11" t="str">
        <x:v>resolved</x:v>
      </x:c>
      <x:c r="L251" s="11" t="n">
        <x:v>1</x:v>
      </x:c>
      <x:c r="M251" s="11" t="n">
        <x:v>0</x:v>
      </x:c>
      <x:c r="N251" s="11" t="n">
        <x:v>7</x:v>
      </x:c>
      <x:c r="O251" s="11" t="n">
        <x:v>0</x:v>
      </x:c>
      <x:c r="P251" s="11" t="n">
        <x:v>713751</x:v>
      </x:c>
      <x:c r="Q251" s="11" t="n">
        <x:v>713751</x:v>
      </x:c>
      <x:c r="R251" s="11" t="n">
        <x:v>63</x:v>
      </x:c>
      <x:c r="S251" s="11" t="n">
        <x:v>63</x:v>
      </x:c>
      <x:c r="T251" s="11" t="n">
        <x:v>60</x:v>
      </x:c>
      <x:c r="U251" s="12" t="n">
        <x:v>209.943</x:v>
      </x:c>
      <x:c r="V251" s="9" t="str">
        <x:v>sphinx/environment/adapters/indexentries.py</x:v>
      </x:c>
      <x:c r="W251" s="9" t="str"/>
      <x:c r="X251" s="9" t="str">
        <x:v>task_output-wsl/lite-baseline-001/instances/sphinx-doc__sphinx-7975/attempt-0001/state.json
task_output-wsl/lite-baseline-001/instances/sphinx-doc__sphinx-7975/attempt-0001/state.json</x:v>
      </x:c>
      <x:c r="Y251" s="2" t="str">
        <x:v>thinking
text</x:v>
      </x:c>
      <x:c r="Z251" s="11" t="n">
        <x:v>264</x:v>
      </x:c>
      <x:c r="AA251" s="11" t="n">
        <x:v>0</x:v>
      </x:c>
    </x:row>
    <x:row r="252" ht="37" customHeight="1">
      <x:c r="A252" s="2" t="str">
        <x:v>sphinx-doc__sphinx-8435</x:v>
      </x:c>
      <x:c r="B252" s="2" t="str">
        <x:v>sphinx-doc/sphinx</x:v>
      </x:c>
      <x:c r="C252" s="2" t="str">
        <x:v>resolved</x:v>
      </x:c>
      <x:c r="D252" s="2" t="str">
        <x:v>已解决</x:v>
      </x:c>
      <x:c r="E252" s="10" t="str">
        <x:v>gold通过，最新attempt未记录API终止、runner启动失败或评测基础设施终止；不代表原始全套测试零失败。</x:v>
      </x:c>
      <x:c r="F252" s="10" t="str"/>
      <x:c r="G252" s="2" t="str">
        <x:v>通过</x:v>
      </x:c>
      <x:c r="H252" s="2" t="str">
        <x:v>limit</x:v>
      </x:c>
      <x:c r="I252" s="11" t="n">
        <x:v>1</x:v>
      </x:c>
      <x:c r="J252" s="11" t="n">
        <x:v>1</x:v>
      </x:c>
      <x:c r="K252" s="11" t="str">
        <x:v>resolved</x:v>
      </x:c>
      <x:c r="L252" s="11" t="n">
        <x:v>1</x:v>
      </x:c>
      <x:c r="M252" s="11" t="n">
        <x:v>0</x:v>
      </x:c>
      <x:c r="N252" s="11" t="n">
        <x:v>16</x:v>
      </x:c>
      <x:c r="O252" s="11" t="n">
        <x:v>0</x:v>
      </x:c>
      <x:c r="P252" s="11" t="n">
        <x:v>667712</x:v>
      </x:c>
      <x:c r="Q252" s="11" t="n">
        <x:v>667712</x:v>
      </x:c>
      <x:c r="R252" s="11" t="n">
        <x:v>62</x:v>
      </x:c>
      <x:c r="S252" s="11" t="n">
        <x:v>62</x:v>
      </x:c>
      <x:c r="T252" s="11" t="n">
        <x:v>60</x:v>
      </x:c>
      <x:c r="U252" s="12" t="n">
        <x:v>129.18</x:v>
      </x:c>
      <x:c r="V252" s="9" t="str">
        <x:v>sphinx/ext/autodoc/__init__.py</x:v>
      </x:c>
      <x:c r="W252" s="9" t="str"/>
      <x:c r="X252" s="9" t="str">
        <x:v>task_output-wsl/lite-baseline-001/instances/sphinx-doc__sphinx-8435/attempt-0001/state.json
task_output-wsl/lite-baseline-001/instances/sphinx-doc__sphinx-8435/attempt-0001/state.json</x:v>
      </x:c>
      <x:c r="Y252" s="2" t="str">
        <x:v>thinking
tool_use</x:v>
      </x:c>
      <x:c r="Z252" s="11" t="n">
        <x:v>198</x:v>
      </x:c>
      <x:c r="AA252" s="11" t="n">
        <x:v>0</x:v>
      </x:c>
    </x:row>
    <x:row r="253" ht="37" customHeight="1">
      <x:c r="A253" s="2" t="str">
        <x:v>sphinx-doc__sphinx-8595</x:v>
      </x:c>
      <x:c r="B253" s="2" t="str">
        <x:v>sphinx-doc/sphinx</x:v>
      </x:c>
      <x:c r="C253" s="2" t="str">
        <x:v>resolved</x:v>
      </x:c>
      <x:c r="D253" s="2" t="str">
        <x:v>已解决</x:v>
      </x:c>
      <x:c r="E253" s="10" t="str">
        <x:v>gold通过，最新attempt未记录API终止、runner启动失败或评测基础设施终止；不代表原始全套测试零失败。</x:v>
      </x:c>
      <x:c r="F253" s="10" t="str"/>
      <x:c r="G253" s="2" t="str">
        <x:v>通过</x:v>
      </x:c>
      <x:c r="H253" s="2" t="str">
        <x:v>completed</x:v>
      </x:c>
      <x:c r="I253" s="11" t="n">
        <x:v>1</x:v>
      </x:c>
      <x:c r="J253" s="11" t="n">
        <x:v>1</x:v>
      </x:c>
      <x:c r="K253" s="11" t="str">
        <x:v>resolved</x:v>
      </x:c>
      <x:c r="L253" s="11" t="n">
        <x:v>1</x:v>
      </x:c>
      <x:c r="M253" s="11" t="n">
        <x:v>0</x:v>
      </x:c>
      <x:c r="N253" s="11" t="n">
        <x:v>0</x:v>
      </x:c>
      <x:c r="O253" s="11" t="n">
        <x:v>0</x:v>
      </x:c>
      <x:c r="P253" s="11" t="n">
        <x:v>144377</x:v>
      </x:c>
      <x:c r="Q253" s="11" t="n">
        <x:v>144377</x:v>
      </x:c>
      <x:c r="R253" s="11" t="n">
        <x:v>16</x:v>
      </x:c>
      <x:c r="S253" s="11" t="n">
        <x:v>16</x:v>
      </x:c>
      <x:c r="T253" s="11" t="n">
        <x:v>16</x:v>
      </x:c>
      <x:c r="U253" s="12" t="n">
        <x:v>34.741</x:v>
      </x:c>
      <x:c r="V253" s="9" t="str">
        <x:v>sphinx/ext/autodoc/__init__.py</x:v>
      </x:c>
      <x:c r="W253" s="9" t="str"/>
      <x:c r="X253" s="9" t="str">
        <x:v>task_output-wsl/lite-baseline-001/instances/sphinx-doc__sphinx-8595/attempt-0001/state.json
task_output-wsl/lite-baseline-001/instances/sphinx-doc__sphinx-8595/attempt-0001/state.json</x:v>
      </x:c>
      <x:c r="Y253" s="2" t="str">
        <x:v>thinking
text</x:v>
      </x:c>
      <x:c r="Z253" s="11" t="n">
        <x:v>315</x:v>
      </x:c>
      <x:c r="AA253" s="11" t="n">
        <x:v>0</x:v>
      </x:c>
    </x:row>
    <x:row r="254" ht="37" customHeight="1">
      <x:c r="A254" s="2" t="str">
        <x:v>sphinx-doc__sphinx-8627</x:v>
      </x:c>
      <x:c r="B254" s="2" t="str">
        <x:v>sphinx-doc/sphinx</x:v>
      </x:c>
      <x:c r="C254" s="2" t="str">
        <x:v>resolved</x:v>
      </x:c>
      <x:c r="D254" s="2" t="str">
        <x:v>已解决</x:v>
      </x:c>
      <x:c r="E254" s="10" t="str">
        <x:v>gold通过，最新attempt未记录API终止、runner启动失败或评测基础设施终止；不代表原始全套测试零失败。</x:v>
      </x:c>
      <x:c r="F254" s="10" t="str"/>
      <x:c r="G254" s="2" t="str">
        <x:v>通过</x:v>
      </x:c>
      <x:c r="H254" s="2" t="str">
        <x:v>completed</x:v>
      </x:c>
      <x:c r="I254" s="11" t="n">
        <x:v>1</x:v>
      </x:c>
      <x:c r="J254" s="11" t="n">
        <x:v>1</x:v>
      </x:c>
      <x:c r="K254" s="11" t="str">
        <x:v>resolved</x:v>
      </x:c>
      <x:c r="L254" s="11" t="n">
        <x:v>2</x:v>
      </x:c>
      <x:c r="M254" s="11" t="n">
        <x:v>0</x:v>
      </x:c>
      <x:c r="N254" s="11" t="n">
        <x:v>17</x:v>
      </x:c>
      <x:c r="O254" s="11" t="n">
        <x:v>0</x:v>
      </x:c>
      <x:c r="P254" s="11" t="n">
        <x:v>721980</x:v>
      </x:c>
      <x:c r="Q254" s="11" t="n">
        <x:v>721980</x:v>
      </x:c>
      <x:c r="R254" s="11" t="n">
        <x:v>59</x:v>
      </x:c>
      <x:c r="S254" s="11" t="n">
        <x:v>59</x:v>
      </x:c>
      <x:c r="T254" s="11" t="n">
        <x:v>58</x:v>
      </x:c>
      <x:c r="U254" s="12" t="n">
        <x:v>158.547</x:v>
      </x:c>
      <x:c r="V254" s="9" t="str">
        <x:v>sphinx/util/typing.py</x:v>
      </x:c>
      <x:c r="W254" s="9" t="str"/>
      <x:c r="X254" s="9" t="str">
        <x:v>task_output-wsl/lite-baseline-001/instances/sphinx-doc__sphinx-8627/attempt-0001/state.json
task_output-wsl/lite-baseline-001/instances/sphinx-doc__sphinx-8627/attempt-0001/state.json</x:v>
      </x:c>
      <x:c r="Y254" s="2" t="str">
        <x:v>thinking
text</x:v>
      </x:c>
      <x:c r="Z254" s="11" t="n">
        <x:v>959</x:v>
      </x:c>
      <x:c r="AA254" s="11" t="n">
        <x:v>0</x:v>
      </x:c>
    </x:row>
    <x:row r="255" ht="37" customHeight="1">
      <x:c r="A255" s="2" t="str">
        <x:v>sphinx-doc__sphinx-8713</x:v>
      </x:c>
      <x:c r="B255" s="2" t="str">
        <x:v>sphinx-doc/sphinx</x:v>
      </x:c>
      <x:c r="C255" s="2" t="str">
        <x:v>resolved</x:v>
      </x:c>
      <x:c r="D255" s="2" t="str">
        <x:v>已解决</x:v>
      </x:c>
      <x:c r="E255" s="10" t="str">
        <x:v>gold通过，最新attempt未记录API终止、runner启动失败或评测基础设施终止；不代表原始全套测试零失败。</x:v>
      </x:c>
      <x:c r="F255" s="10" t="str"/>
      <x:c r="G255" s="2" t="str">
        <x:v>通过</x:v>
      </x:c>
      <x:c r="H255" s="2" t="str">
        <x:v>completed</x:v>
      </x:c>
      <x:c r="I255" s="11" t="n">
        <x:v>1</x:v>
      </x:c>
      <x:c r="J255" s="11" t="n">
        <x:v>1</x:v>
      </x:c>
      <x:c r="K255" s="11" t="str">
        <x:v>resolved</x:v>
      </x:c>
      <x:c r="L255" s="11" t="n">
        <x:v>1</x:v>
      </x:c>
      <x:c r="M255" s="11" t="n">
        <x:v>0</x:v>
      </x:c>
      <x:c r="N255" s="11" t="n">
        <x:v>45</x:v>
      </x:c>
      <x:c r="O255" s="11" t="n">
        <x:v>0</x:v>
      </x:c>
      <x:c r="P255" s="11" t="n">
        <x:v>100719</x:v>
      </x:c>
      <x:c r="Q255" s="11" t="n">
        <x:v>100719</x:v>
      </x:c>
      <x:c r="R255" s="11" t="n">
        <x:v>13</x:v>
      </x:c>
      <x:c r="S255" s="11" t="n">
        <x:v>13</x:v>
      </x:c>
      <x:c r="T255" s="11" t="n">
        <x:v>12</x:v>
      </x:c>
      <x:c r="U255" s="12" t="n">
        <x:v>27.935</x:v>
      </x:c>
      <x:c r="V255" s="9" t="str">
        <x:v>sphinx/ext/napoleon/docstring.py</x:v>
      </x:c>
      <x:c r="W255" s="9" t="str"/>
      <x:c r="X255" s="9" t="str">
        <x:v>task_output-wsl/lite-baseline-001/instances/sphinx-doc__sphinx-8713/attempt-0001/state.json
task_output-wsl/lite-baseline-001/instances/sphinx-doc__sphinx-8713/attempt-0001/state.json</x:v>
      </x:c>
      <x:c r="Y255" s="2" t="str">
        <x:v>thinking
text</x:v>
      </x:c>
      <x:c r="Z255" s="11" t="n">
        <x:v>146</x:v>
      </x:c>
      <x:c r="AA255" s="11" t="n">
        <x:v>0</x:v>
      </x:c>
    </x:row>
    <x:row r="256" ht="37" customHeight="1">
      <x:c r="A256" s="2" t="str">
        <x:v>sphinx-doc__sphinx-8721</x:v>
      </x:c>
      <x:c r="B256" s="2" t="str">
        <x:v>sphinx-doc/sphinx</x:v>
      </x:c>
      <x:c r="C256" s="2" t="str">
        <x:v>resolved</x:v>
      </x:c>
      <x:c r="D256" s="2" t="str">
        <x:v>已解决</x:v>
      </x:c>
      <x:c r="E256" s="10" t="str">
        <x:v>gold通过，最新attempt未记录API终止、runner启动失败或评测基础设施终止；不代表原始全套测试零失败。</x:v>
      </x:c>
      <x:c r="F256" s="10" t="str"/>
      <x:c r="G256" s="2" t="str">
        <x:v>通过</x:v>
      </x:c>
      <x:c r="H256" s="2" t="str">
        <x:v>completed</x:v>
      </x:c>
      <x:c r="I256" s="11" t="n">
        <x:v>1</x:v>
      </x:c>
      <x:c r="J256" s="11" t="n">
        <x:v>1</x:v>
      </x:c>
      <x:c r="K256" s="11" t="str">
        <x:v>resolved</x:v>
      </x:c>
      <x:c r="L256" s="11" t="n">
        <x:v>1</x:v>
      </x:c>
      <x:c r="M256" s="11" t="n">
        <x:v>0</x:v>
      </x:c>
      <x:c r="N256" s="11" t="n">
        <x:v>3</x:v>
      </x:c>
      <x:c r="O256" s="11" t="n">
        <x:v>0</x:v>
      </x:c>
      <x:c r="P256" s="11" t="n">
        <x:v>90463</x:v>
      </x:c>
      <x:c r="Q256" s="11" t="n">
        <x:v>90463</x:v>
      </x:c>
      <x:c r="R256" s="11" t="n">
        <x:v>9</x:v>
      </x:c>
      <x:c r="S256" s="11" t="n">
        <x:v>9</x:v>
      </x:c>
      <x:c r="T256" s="11" t="n">
        <x:v>9</x:v>
      </x:c>
      <x:c r="U256" s="12" t="n">
        <x:v>25.649</x:v>
      </x:c>
      <x:c r="V256" s="9" t="str">
        <x:v>sphinx/ext/viewcode.py</x:v>
      </x:c>
      <x:c r="W256" s="9" t="str"/>
      <x:c r="X256" s="9" t="str">
        <x:v>task_output-wsl/lite-baseline-001/instances/sphinx-doc__sphinx-8721/attempt-0001/state.json
task_output-wsl/lite-baseline-001/instances/sphinx-doc__sphinx-8721/attempt-0001/state.json</x:v>
      </x:c>
      <x:c r="Y256" s="2" t="str">
        <x:v>thinking
text</x:v>
      </x:c>
      <x:c r="Z256" s="11" t="n">
        <x:v>325</x:v>
      </x:c>
      <x:c r="AA256" s="11" t="n">
        <x:v>0</x:v>
      </x:c>
    </x:row>
    <x:row r="257" ht="37" customHeight="1">
      <x:c r="A257" s="2" t="str">
        <x:v>sphinx-doc__sphinx-8801</x:v>
      </x:c>
      <x:c r="B257" s="2" t="str">
        <x:v>sphinx-doc/sphinx</x:v>
      </x:c>
      <x:c r="C257" s="2" t="str">
        <x:v>resolved</x:v>
      </x:c>
      <x:c r="D257" s="2" t="str">
        <x:v>已解决</x:v>
      </x:c>
      <x:c r="E257" s="10" t="str">
        <x:v>gold通过，最新attempt未记录API终止、runner启动失败或评测基础设施终止；不代表原始全套测试零失败。</x:v>
      </x:c>
      <x:c r="F257" s="10" t="str"/>
      <x:c r="G257" s="2" t="str">
        <x:v>通过</x:v>
      </x:c>
      <x:c r="H257" s="2" t="str">
        <x:v>completed</x:v>
      </x:c>
      <x:c r="I257" s="11" t="n">
        <x:v>1</x:v>
      </x:c>
      <x:c r="J257" s="11" t="n">
        <x:v>1</x:v>
      </x:c>
      <x:c r="K257" s="11" t="str">
        <x:v>resolved</x:v>
      </x:c>
      <x:c r="L257" s="11" t="n">
        <x:v>1</x:v>
      </x:c>
      <x:c r="M257" s="11" t="n">
        <x:v>0</x:v>
      </x:c>
      <x:c r="N257" s="11" t="n">
        <x:v>8</x:v>
      </x:c>
      <x:c r="O257" s="11" t="n">
        <x:v>0</x:v>
      </x:c>
      <x:c r="P257" s="11" t="n">
        <x:v>387429</x:v>
      </x:c>
      <x:c r="Q257" s="11" t="n">
        <x:v>387429</x:v>
      </x:c>
      <x:c r="R257" s="11" t="n">
        <x:v>36</x:v>
      </x:c>
      <x:c r="S257" s="11" t="n">
        <x:v>36</x:v>
      </x:c>
      <x:c r="T257" s="11" t="n">
        <x:v>35</x:v>
      </x:c>
      <x:c r="U257" s="12" t="n">
        <x:v>79.285</x:v>
      </x:c>
      <x:c r="V257" s="9" t="str">
        <x:v>sphinx/ext/autodoc/importer.py</x:v>
      </x:c>
      <x:c r="W257" s="9" t="str"/>
      <x:c r="X257" s="9" t="str">
        <x:v>task_output-wsl/lite-baseline-001/instances/sphinx-doc__sphinx-8801/attempt-0001/state.json
task_output-wsl/lite-baseline-001/instances/sphinx-doc__sphinx-8801/attempt-0001/state.json</x:v>
      </x:c>
      <x:c r="Y257" s="2" t="str">
        <x:v>thinking
text</x:v>
      </x:c>
      <x:c r="Z257" s="11" t="n">
        <x:v>230</x:v>
      </x:c>
      <x:c r="AA257" s="11" t="n">
        <x:v>0</x:v>
      </x:c>
    </x:row>
    <x:row r="258" ht="51" customHeight="1">
      <x:c r="A258" s="2" t="str">
        <x:v>sympy__sympy-12419</x:v>
      </x:c>
      <x:c r="B258" s="2" t="str">
        <x:v>sympy/sympy</x:v>
      </x:c>
      <x:c r="C258" s="2" t="str">
        <x:v>resolved</x:v>
      </x:c>
      <x:c r="D258" s="2" t="str">
        <x:v>已解决</x:v>
      </x:c>
      <x:c r="E258" s="10" t="str">
        <x:v>gold通过，最新attempt未记录API终止、runner启动失败或评测基础设施终止；不代表原始全套测试零失败。</x:v>
      </x:c>
      <x:c r="F258" s="10" t="str"/>
      <x:c r="G258" s="2" t="str">
        <x:v>通过</x:v>
      </x:c>
      <x:c r="H258" s="2" t="str">
        <x:v>limit</x:v>
      </x:c>
      <x:c r="I258" s="11" t="n">
        <x:v>1</x:v>
      </x:c>
      <x:c r="J258" s="11" t="n">
        <x:v>1</x:v>
      </x:c>
      <x:c r="K258" s="11" t="str">
        <x:v>resolved</x:v>
      </x:c>
      <x:c r="L258" s="11" t="n">
        <x:v>1</x:v>
      </x:c>
      <x:c r="M258" s="11" t="n">
        <x:v>0</x:v>
      </x:c>
      <x:c r="N258" s="11" t="n">
        <x:v>25</x:v>
      </x:c>
      <x:c r="O258" s="11" t="n">
        <x:v>0</x:v>
      </x:c>
      <x:c r="P258" s="11" t="n">
        <x:v>721938</x:v>
      </x:c>
      <x:c r="Q258" s="11" t="n">
        <x:v>721938</x:v>
      </x:c>
      <x:c r="R258" s="11" t="n">
        <x:v>60</x:v>
      </x:c>
      <x:c r="S258" s="11" t="n">
        <x:v>60</x:v>
      </x:c>
      <x:c r="T258" s="11" t="n">
        <x:v>60</x:v>
      </x:c>
      <x:c r="U258" s="12" t="n">
        <x:v>120.05</x:v>
      </x:c>
      <x:c r="V258" s="9" t="str">
        <x:v>sympy/concrete/delta.py
sympy/functions/special/tensor_functions.py
sympy/matrices/expressions/matexpr.py</x:v>
      </x:c>
      <x:c r="W258" s="9" t="str"/>
      <x:c r="X258" s="9" t="str">
        <x:v>task_output-wsl/lite-baseline-001/instances/sympy__sympy-12419/attempt-0001/state.json
task_output-wsl/lite-baseline-001/instances/sympy__sympy-12419/attempt-0001/state.json</x:v>
      </x:c>
      <x:c r="Y258" s="2" t="str">
        <x:v>thinking
tool_use</x:v>
      </x:c>
      <x:c r="Z258" s="11" t="n">
        <x:v>734</x:v>
      </x:c>
      <x:c r="AA258" s="11" t="n">
        <x:v>0</x:v>
      </x:c>
    </x:row>
    <x:row r="259" ht="37" customHeight="1">
      <x:c r="A259" s="2" t="str">
        <x:v>sympy__sympy-12454</x:v>
      </x:c>
      <x:c r="B259" s="2" t="str">
        <x:v>sympy/sympy</x:v>
      </x:c>
      <x:c r="C259" s="2" t="str">
        <x:v>resolved</x:v>
      </x:c>
      <x:c r="D259" s="2" t="str">
        <x:v>已解决</x:v>
      </x:c>
      <x:c r="E259" s="10" t="str">
        <x:v>gold通过，最新attempt未记录API终止、runner启动失败或评测基础设施终止；不代表原始全套测试零失败。</x:v>
      </x:c>
      <x:c r="F259" s="10" t="str"/>
      <x:c r="G259" s="2" t="str">
        <x:v>通过</x:v>
      </x:c>
      <x:c r="H259" s="2" t="str">
        <x:v>completed</x:v>
      </x:c>
      <x:c r="I259" s="11" t="n">
        <x:v>1</x:v>
      </x:c>
      <x:c r="J259" s="11" t="n">
        <x:v>1</x:v>
      </x:c>
      <x:c r="K259" s="11" t="str">
        <x:v>resolved</x:v>
      </x:c>
      <x:c r="L259" s="11" t="n">
        <x:v>2</x:v>
      </x:c>
      <x:c r="M259" s="11" t="n">
        <x:v>0</x:v>
      </x:c>
      <x:c r="N259" s="11" t="n">
        <x:v>134</x:v>
      </x:c>
      <x:c r="O259" s="11" t="n">
        <x:v>0</x:v>
      </x:c>
      <x:c r="P259" s="11" t="n">
        <x:v>115581</x:v>
      </x:c>
      <x:c r="Q259" s="11" t="n">
        <x:v>115581</x:v>
      </x:c>
      <x:c r="R259" s="11" t="n">
        <x:v>13</x:v>
      </x:c>
      <x:c r="S259" s="11" t="n">
        <x:v>13</x:v>
      </x:c>
      <x:c r="T259" s="11" t="n">
        <x:v>13</x:v>
      </x:c>
      <x:c r="U259" s="12" t="n">
        <x:v>41.496</x:v>
      </x:c>
      <x:c r="V259" s="9" t="str">
        <x:v>sympy/matrices/matrices.py</x:v>
      </x:c>
      <x:c r="W259" s="9" t="str"/>
      <x:c r="X259" s="9" t="str">
        <x:v>task_output-wsl/lite-baseline-001/instances/sympy__sympy-12454/attempt-0001/state.json
task_output-wsl/lite-baseline-001/instances/sympy__sympy-12454/attempt-0001/state.json</x:v>
      </x:c>
      <x:c r="Y259" s="2" t="str">
        <x:v>thinking
text</x:v>
      </x:c>
      <x:c r="Z259" s="11" t="n">
        <x:v>683</x:v>
      </x:c>
      <x:c r="AA259" s="11" t="n">
        <x:v>0</x:v>
      </x:c>
    </x:row>
    <x:row r="260" ht="37" customHeight="1">
      <x:c r="A260" s="2" t="str">
        <x:v>sympy__sympy-12481</x:v>
      </x:c>
      <x:c r="B260" s="2" t="str">
        <x:v>sympy/sympy</x:v>
      </x:c>
      <x:c r="C260" s="2" t="str">
        <x:v>resolved</x:v>
      </x:c>
      <x:c r="D260" s="2" t="str">
        <x:v>已解决</x:v>
      </x:c>
      <x:c r="E260" s="10" t="str">
        <x:v>gold通过，最新attempt未记录API终止、runner启动失败或评测基础设施终止；不代表原始全套测试零失败。</x:v>
      </x:c>
      <x:c r="F260" s="10" t="str"/>
      <x:c r="G260" s="2" t="str">
        <x:v>通过</x:v>
      </x:c>
      <x:c r="H260" s="2" t="str">
        <x:v>completed</x:v>
      </x:c>
      <x:c r="I260" s="11" t="n">
        <x:v>1</x:v>
      </x:c>
      <x:c r="J260" s="11" t="n">
        <x:v>1</x:v>
      </x:c>
      <x:c r="K260" s="11" t="str">
        <x:v>resolved</x:v>
      </x:c>
      <x:c r="L260" s="11" t="n">
        <x:v>1</x:v>
      </x:c>
      <x:c r="M260" s="11" t="n">
        <x:v>0</x:v>
      </x:c>
      <x:c r="N260" s="11" t="n">
        <x:v>7</x:v>
      </x:c>
      <x:c r="O260" s="11" t="n">
        <x:v>0</x:v>
      </x:c>
      <x:c r="P260" s="11" t="n">
        <x:v>375637</x:v>
      </x:c>
      <x:c r="Q260" s="11" t="n">
        <x:v>375637</x:v>
      </x:c>
      <x:c r="R260" s="11" t="n">
        <x:v>32</x:v>
      </x:c>
      <x:c r="S260" s="11" t="n">
        <x:v>32</x:v>
      </x:c>
      <x:c r="T260" s="11" t="n">
        <x:v>32</x:v>
      </x:c>
      <x:c r="U260" s="12" t="n">
        <x:v>92.771</x:v>
      </x:c>
      <x:c r="V260" s="9" t="str">
        <x:v>sympy/combinatorics/permutations.py</x:v>
      </x:c>
      <x:c r="W260" s="9" t="str"/>
      <x:c r="X260" s="9" t="str">
        <x:v>task_output-wsl/lite-baseline-001/instances/sympy__sympy-12481/attempt-0001/state.json
task_output-wsl/lite-baseline-001/instances/sympy__sympy-12481/attempt-0001/state.json</x:v>
      </x:c>
      <x:c r="Y260" s="2" t="str">
        <x:v>thinking
text</x:v>
      </x:c>
      <x:c r="Z260" s="11" t="n">
        <x:v>189</x:v>
      </x:c>
      <x:c r="AA260" s="11" t="n">
        <x:v>0</x:v>
      </x:c>
    </x:row>
    <x:row r="261" ht="37" customHeight="1">
      <x:c r="A261" s="2" t="str">
        <x:v>sympy__sympy-13031</x:v>
      </x:c>
      <x:c r="B261" s="2" t="str">
        <x:v>sympy/sympy</x:v>
      </x:c>
      <x:c r="C261" s="2" t="str">
        <x:v>resolved</x:v>
      </x:c>
      <x:c r="D261" s="2" t="str">
        <x:v>已解决</x:v>
      </x:c>
      <x:c r="E261" s="10" t="str">
        <x:v>gold通过，最新attempt未记录API终止、runner启动失败或评测基础设施终止；不代表原始全套测试零失败。</x:v>
      </x:c>
      <x:c r="F261" s="10" t="str"/>
      <x:c r="G261" s="2" t="str">
        <x:v>通过</x:v>
      </x:c>
      <x:c r="H261" s="2" t="str">
        <x:v>limit</x:v>
      </x:c>
      <x:c r="I261" s="11" t="n">
        <x:v>1</x:v>
      </x:c>
      <x:c r="J261" s="11" t="n">
        <x:v>1</x:v>
      </x:c>
      <x:c r="K261" s="11" t="str">
        <x:v>resolved</x:v>
      </x:c>
      <x:c r="L261" s="11" t="n">
        <x:v>1</x:v>
      </x:c>
      <x:c r="M261" s="11" t="n">
        <x:v>0</x:v>
      </x:c>
      <x:c r="N261" s="11" t="n">
        <x:v>9</x:v>
      </x:c>
      <x:c r="O261" s="11" t="n">
        <x:v>0</x:v>
      </x:c>
      <x:c r="P261" s="11" t="n">
        <x:v>769728</x:v>
      </x:c>
      <x:c r="Q261" s="11" t="n">
        <x:v>769728</x:v>
      </x:c>
      <x:c r="R261" s="11" t="n">
        <x:v>62</x:v>
      </x:c>
      <x:c r="S261" s="11" t="n">
        <x:v>62</x:v>
      </x:c>
      <x:c r="T261" s="11" t="n">
        <x:v>60</x:v>
      </x:c>
      <x:c r="U261" s="12" t="n">
        <x:v>171.525</x:v>
      </x:c>
      <x:c r="V261" s="9" t="str">
        <x:v>sympy/matrices/sparse.py</x:v>
      </x:c>
      <x:c r="W261" s="9" t="str"/>
      <x:c r="X261" s="9" t="str">
        <x:v>task_output-wsl/lite-baseline-001/instances/sympy__sympy-13031/attempt-0001/state.json
task_output-wsl/lite-baseline-001/instances/sympy__sympy-13031/attempt-0001/state.json</x:v>
      </x:c>
      <x:c r="Y261" s="2" t="str">
        <x:v>thinking
tool_use</x:v>
      </x:c>
      <x:c r="Z261" s="11" t="n">
        <x:v>195</x:v>
      </x:c>
      <x:c r="AA261" s="11" t="n">
        <x:v>0</x:v>
      </x:c>
    </x:row>
    <x:row r="262" ht="37" customHeight="1">
      <x:c r="A262" s="2" t="str">
        <x:v>sympy__sympy-13146</x:v>
      </x:c>
      <x:c r="B262" s="2" t="str">
        <x:v>sympy/sympy</x:v>
      </x:c>
      <x:c r="C262" s="2" t="str">
        <x:v>resolved</x:v>
      </x:c>
      <x:c r="D262" s="2" t="str">
        <x:v>已解决</x:v>
      </x:c>
      <x:c r="E262" s="10" t="str">
        <x:v>gold通过，最新attempt未记录API终止、runner启动失败或评测基础设施终止；不代表原始全套测试零失败。</x:v>
      </x:c>
      <x:c r="F262" s="10" t="str"/>
      <x:c r="G262" s="2" t="str">
        <x:v>通过</x:v>
      </x:c>
      <x:c r="H262" s="2" t="str">
        <x:v>limit</x:v>
      </x:c>
      <x:c r="I262" s="11" t="n">
        <x:v>1</x:v>
      </x:c>
      <x:c r="J262" s="11" t="n">
        <x:v>1</x:v>
      </x:c>
      <x:c r="K262" s="11" t="str">
        <x:v>resolved</x:v>
      </x:c>
      <x:c r="L262" s="11" t="n">
        <x:v>1</x:v>
      </x:c>
      <x:c r="M262" s="11" t="n">
        <x:v>0</x:v>
      </x:c>
      <x:c r="N262" s="11" t="n">
        <x:v>34</x:v>
      </x:c>
      <x:c r="O262" s="11" t="n">
        <x:v>0</x:v>
      </x:c>
      <x:c r="P262" s="11" t="n">
        <x:v>739252</x:v>
      </x:c>
      <x:c r="Q262" s="11" t="n">
        <x:v>739252</x:v>
      </x:c>
      <x:c r="R262" s="11" t="n">
        <x:v>60</x:v>
      </x:c>
      <x:c r="S262" s="11" t="n">
        <x:v>60</x:v>
      </x:c>
      <x:c r="T262" s="11" t="n">
        <x:v>60</x:v>
      </x:c>
      <x:c r="U262" s="12" t="n">
        <x:v>148.156</x:v>
      </x:c>
      <x:c r="V262" s="9" t="str">
        <x:v>sympy/core/basic.py</x:v>
      </x:c>
      <x:c r="W262" s="9" t="str"/>
      <x:c r="X262" s="9" t="str">
        <x:v>task_output-wsl/lite-baseline-001/instances/sympy__sympy-13146/attempt-0001/state.json
task_output-wsl/lite-baseline-001/instances/sympy__sympy-13146/attempt-0001/state.json</x:v>
      </x:c>
      <x:c r="Y262" s="2" t="str">
        <x:v>thinking
tool_use</x:v>
      </x:c>
      <x:c r="Z262" s="11" t="n">
        <x:v>298</x:v>
      </x:c>
      <x:c r="AA262" s="11" t="n">
        <x:v>0</x:v>
      </x:c>
    </x:row>
    <x:row r="263" ht="37" customHeight="1">
      <x:c r="A263" s="2" t="str">
        <x:v>sympy__sympy-13471</x:v>
      </x:c>
      <x:c r="B263" s="2" t="str">
        <x:v>sympy/sympy</x:v>
      </x:c>
      <x:c r="C263" s="2" t="str">
        <x:v>resolved</x:v>
      </x:c>
      <x:c r="D263" s="2" t="str">
        <x:v>已解决</x:v>
      </x:c>
      <x:c r="E263" s="10" t="str">
        <x:v>gold通过，最新attempt未记录API终止、runner启动失败或评测基础设施终止；不代表原始全套测试零失败。</x:v>
      </x:c>
      <x:c r="F263" s="10" t="str"/>
      <x:c r="G263" s="2" t="str">
        <x:v>通过</x:v>
      </x:c>
      <x:c r="H263" s="2" t="str">
        <x:v>completed</x:v>
      </x:c>
      <x:c r="I263" s="11" t="n">
        <x:v>1</x:v>
      </x:c>
      <x:c r="J263" s="11" t="n">
        <x:v>1</x:v>
      </x:c>
      <x:c r="K263" s="11" t="str">
        <x:v>resolved</x:v>
      </x:c>
      <x:c r="L263" s="11" t="n">
        <x:v>1</x:v>
      </x:c>
      <x:c r="M263" s="11" t="n">
        <x:v>0</x:v>
      </x:c>
      <x:c r="N263" s="11" t="n">
        <x:v>82</x:v>
      </x:c>
      <x:c r="O263" s="11" t="n">
        <x:v>0</x:v>
      </x:c>
      <x:c r="P263" s="11" t="n">
        <x:v>290281</x:v>
      </x:c>
      <x:c r="Q263" s="11" t="n">
        <x:v>290281</x:v>
      </x:c>
      <x:c r="R263" s="11" t="n">
        <x:v>28</x:v>
      </x:c>
      <x:c r="S263" s="11" t="n">
        <x:v>28</x:v>
      </x:c>
      <x:c r="T263" s="11" t="n">
        <x:v>27</x:v>
      </x:c>
      <x:c r="U263" s="12" t="n">
        <x:v>97.719</x:v>
      </x:c>
      <x:c r="V263" s="9" t="str">
        <x:v>sympy/core/numbers.py</x:v>
      </x:c>
      <x:c r="W263" s="9" t="str"/>
      <x:c r="X263" s="9" t="str">
        <x:v>task_output-wsl/lite-baseline-001/instances/sympy__sympy-13471/attempt-0001/state.json
task_output-wsl/lite-baseline-001/instances/sympy__sympy-13471/attempt-0001/state.json</x:v>
      </x:c>
      <x:c r="Y263" s="2" t="str">
        <x:v>thinking
text</x:v>
      </x:c>
      <x:c r="Z263" s="11" t="n">
        <x:v>384</x:v>
      </x:c>
      <x:c r="AA263" s="11" t="n">
        <x:v>0</x:v>
      </x:c>
    </x:row>
    <x:row r="264" ht="37" customHeight="1">
      <x:c r="A264" s="2" t="str">
        <x:v>sympy__sympy-13480</x:v>
      </x:c>
      <x:c r="B264" s="2" t="str">
        <x:v>sympy/sympy</x:v>
      </x:c>
      <x:c r="C264" s="2" t="str">
        <x:v>resolved</x:v>
      </x:c>
      <x:c r="D264" s="2" t="str">
        <x:v>已解决</x:v>
      </x:c>
      <x:c r="E264" s="10" t="str">
        <x:v>gold通过，最新attempt未记录API终止、runner启动失败或评测基础设施终止；不代表原始全套测试零失败。</x:v>
      </x:c>
      <x:c r="F264" s="10" t="str"/>
      <x:c r="G264" s="2" t="str">
        <x:v>通过</x:v>
      </x:c>
      <x:c r="H264" s="2" t="str">
        <x:v>completed</x:v>
      </x:c>
      <x:c r="I264" s="11" t="n">
        <x:v>1</x:v>
      </x:c>
      <x:c r="J264" s="11" t="n">
        <x:v>1</x:v>
      </x:c>
      <x:c r="K264" s="11" t="str">
        <x:v>resolved</x:v>
      </x:c>
      <x:c r="L264" s="11" t="n">
        <x:v>1</x:v>
      </x:c>
      <x:c r="M264" s="11" t="n">
        <x:v>0</x:v>
      </x:c>
      <x:c r="N264" s="11" t="n">
        <x:v>43</x:v>
      </x:c>
      <x:c r="O264" s="11" t="n">
        <x:v>0</x:v>
      </x:c>
      <x:c r="P264" s="11" t="n">
        <x:v>116092</x:v>
      </x:c>
      <x:c r="Q264" s="11" t="n">
        <x:v>116092</x:v>
      </x:c>
      <x:c r="R264" s="11" t="n">
        <x:v>15</x:v>
      </x:c>
      <x:c r="S264" s="11" t="n">
        <x:v>15</x:v>
      </x:c>
      <x:c r="T264" s="11" t="n">
        <x:v>15</x:v>
      </x:c>
      <x:c r="U264" s="12" t="n">
        <x:v>30.141</x:v>
      </x:c>
      <x:c r="V264" s="9" t="str">
        <x:v>sympy/functions/elementary/hyperbolic.py</x:v>
      </x:c>
      <x:c r="W264" s="9" t="str"/>
      <x:c r="X264" s="9" t="str">
        <x:v>task_output-wsl/lite-baseline-001/instances/sympy__sympy-13480/attempt-0001/state.json
task_output-wsl/lite-baseline-001/instances/sympy__sympy-13480/attempt-0001/state.json</x:v>
      </x:c>
      <x:c r="Y264" s="2" t="str">
        <x:v>thinking
text</x:v>
      </x:c>
      <x:c r="Z264" s="11" t="n">
        <x:v>152</x:v>
      </x:c>
      <x:c r="AA264" s="11" t="n">
        <x:v>0</x:v>
      </x:c>
    </x:row>
    <x:row r="265" ht="37" customHeight="1">
      <x:c r="A265" s="2" t="str">
        <x:v>sympy__sympy-13647</x:v>
      </x:c>
      <x:c r="B265" s="2" t="str">
        <x:v>sympy/sympy</x:v>
      </x:c>
      <x:c r="C265" s="2" t="str">
        <x:v>resolved</x:v>
      </x:c>
      <x:c r="D265" s="2" t="str">
        <x:v>已解决</x:v>
      </x:c>
      <x:c r="E265" s="10" t="str">
        <x:v>gold通过，最新attempt未记录API终止、runner启动失败或评测基础设施终止；不代表原始全套测试零失败。</x:v>
      </x:c>
      <x:c r="F265" s="10" t="str"/>
      <x:c r="G265" s="2" t="str">
        <x:v>通过</x:v>
      </x:c>
      <x:c r="H265" s="2" t="str">
        <x:v>completed</x:v>
      </x:c>
      <x:c r="I265" s="11" t="n">
        <x:v>1</x:v>
      </x:c>
      <x:c r="J265" s="11" t="n">
        <x:v>1</x:v>
      </x:c>
      <x:c r="K265" s="11" t="str">
        <x:v>resolved</x:v>
      </x:c>
      <x:c r="L265" s="11" t="n">
        <x:v>1</x:v>
      </x:c>
      <x:c r="M265" s="11" t="n">
        <x:v>0</x:v>
      </x:c>
      <x:c r="N265" s="11" t="n">
        <x:v>76</x:v>
      </x:c>
      <x:c r="O265" s="11" t="n">
        <x:v>0</x:v>
      </x:c>
      <x:c r="P265" s="11" t="n">
        <x:v>281391</x:v>
      </x:c>
      <x:c r="Q265" s="11" t="n">
        <x:v>281391</x:v>
      </x:c>
      <x:c r="R265" s="11" t="n">
        <x:v>24</x:v>
      </x:c>
      <x:c r="S265" s="11" t="n">
        <x:v>24</x:v>
      </x:c>
      <x:c r="T265" s="11" t="n">
        <x:v>24</x:v>
      </x:c>
      <x:c r="U265" s="12" t="n">
        <x:v>73.007</x:v>
      </x:c>
      <x:c r="V265" s="9" t="str">
        <x:v>sympy/matrices/common.py</x:v>
      </x:c>
      <x:c r="W265" s="9" t="str"/>
      <x:c r="X265" s="9" t="str">
        <x:v>task_output-wsl/lite-baseline-001/instances/sympy__sympy-13647/attempt-0001/state.json
task_output-wsl/lite-baseline-001/instances/sympy__sympy-13647/attempt-0001/state.json</x:v>
      </x:c>
      <x:c r="Y265" s="2" t="str">
        <x:v>thinking
text</x:v>
      </x:c>
      <x:c r="Z265" s="11" t="n">
        <x:v>155</x:v>
      </x:c>
      <x:c r="AA265" s="11" t="n">
        <x:v>0</x:v>
      </x:c>
    </x:row>
    <x:row r="266" ht="37" customHeight="1">
      <x:c r="A266" s="2" t="str">
        <x:v>sympy__sympy-13915</x:v>
      </x:c>
      <x:c r="B266" s="2" t="str">
        <x:v>sympy/sympy</x:v>
      </x:c>
      <x:c r="C266" s="2" t="str">
        <x:v>resolved</x:v>
      </x:c>
      <x:c r="D266" s="2" t="str">
        <x:v>已解决</x:v>
      </x:c>
      <x:c r="E266" s="10" t="str">
        <x:v>gold通过，最新attempt未记录API终止、runner启动失败或评测基础设施终止；不代表原始全套测试零失败。</x:v>
      </x:c>
      <x:c r="F266" s="10" t="str"/>
      <x:c r="G266" s="2" t="str">
        <x:v>通过</x:v>
      </x:c>
      <x:c r="H266" s="2" t="str">
        <x:v>limit</x:v>
      </x:c>
      <x:c r="I266" s="11" t="n">
        <x:v>1</x:v>
      </x:c>
      <x:c r="J266" s="11" t="n">
        <x:v>1</x:v>
      </x:c>
      <x:c r="K266" s="11" t="str">
        <x:v>resolved</x:v>
      </x:c>
      <x:c r="L266" s="11" t="n">
        <x:v>1</x:v>
      </x:c>
      <x:c r="M266" s="11" t="n">
        <x:v>0</x:v>
      </x:c>
      <x:c r="N266" s="11" t="n">
        <x:v>62</x:v>
      </x:c>
      <x:c r="O266" s="11" t="n">
        <x:v>0</x:v>
      </x:c>
      <x:c r="P266" s="11" t="n">
        <x:v>695532</x:v>
      </x:c>
      <x:c r="Q266" s="11" t="n">
        <x:v>695532</x:v>
      </x:c>
      <x:c r="R266" s="11" t="n">
        <x:v>61</x:v>
      </x:c>
      <x:c r="S266" s="11" t="n">
        <x:v>61</x:v>
      </x:c>
      <x:c r="T266" s="11" t="n">
        <x:v>60</x:v>
      </x:c>
      <x:c r="U266" s="12" t="n">
        <x:v>184.844</x:v>
      </x:c>
      <x:c r="V266" s="9" t="str">
        <x:v>sympy/core/mul.py</x:v>
      </x:c>
      <x:c r="W266" s="9" t="str"/>
      <x:c r="X266" s="9" t="str">
        <x:v>task_output-wsl/lite-baseline-001/instances/sympy__sympy-13915/attempt-0001/state.json
task_output-wsl/lite-baseline-001/instances/sympy__sympy-13915/attempt-0001/state.json</x:v>
      </x:c>
      <x:c r="Y266" s="2" t="str">
        <x:v>thinking
tool_use
tool_use</x:v>
      </x:c>
      <x:c r="Z266" s="11" t="n">
        <x:v>254</x:v>
      </x:c>
      <x:c r="AA266" s="11" t="n">
        <x:v>0</x:v>
      </x:c>
    </x:row>
    <x:row r="267" ht="37" customHeight="1">
      <x:c r="A267" s="2" t="str">
        <x:v>sympy__sympy-13971</x:v>
      </x:c>
      <x:c r="B267" s="2" t="str">
        <x:v>sympy/sympy</x:v>
      </x:c>
      <x:c r="C267" s="2" t="str">
        <x:v>resolved</x:v>
      </x:c>
      <x:c r="D267" s="2" t="str">
        <x:v>已解决</x:v>
      </x:c>
      <x:c r="E267" s="10" t="str">
        <x:v>gold通过，最新attempt未记录API终止、runner启动失败或评测基础设施终止；不代表原始全套测试零失败。</x:v>
      </x:c>
      <x:c r="F267" s="10" t="str"/>
      <x:c r="G267" s="2" t="str">
        <x:v>通过</x:v>
      </x:c>
      <x:c r="H267" s="2" t="str">
        <x:v>completed</x:v>
      </x:c>
      <x:c r="I267" s="11" t="n">
        <x:v>1</x:v>
      </x:c>
      <x:c r="J267" s="11" t="n">
        <x:v>1</x:v>
      </x:c>
      <x:c r="K267" s="11" t="str">
        <x:v>resolved</x:v>
      </x:c>
      <x:c r="L267" s="11" t="n">
        <x:v>1</x:v>
      </x:c>
      <x:c r="M267" s="11" t="n">
        <x:v>0</x:v>
      </x:c>
      <x:c r="N267" s="11" t="n">
        <x:v>102</x:v>
      </x:c>
      <x:c r="O267" s="11" t="n">
        <x:v>0</x:v>
      </x:c>
      <x:c r="P267" s="11" t="n">
        <x:v>72718</x:v>
      </x:c>
      <x:c r="Q267" s="11" t="n">
        <x:v>72718</x:v>
      </x:c>
      <x:c r="R267" s="11" t="n">
        <x:v>10</x:v>
      </x:c>
      <x:c r="S267" s="11" t="n">
        <x:v>10</x:v>
      </x:c>
      <x:c r="T267" s="11" t="n">
        <x:v>10</x:v>
      </x:c>
      <x:c r="U267" s="12" t="n">
        <x:v>18.267</x:v>
      </x:c>
      <x:c r="V267" s="9" t="str">
        <x:v>sympy/printing/latex.py</x:v>
      </x:c>
      <x:c r="W267" s="9" t="str"/>
      <x:c r="X267" s="9" t="str">
        <x:v>task_output-wsl/lite-baseline-001/instances/sympy__sympy-13971/attempt-0001/state.json
task_output-wsl/lite-baseline-001/instances/sympy__sympy-13971/attempt-0001/state.json</x:v>
      </x:c>
      <x:c r="Y267" s="2" t="str">
        <x:v>thinking
text</x:v>
      </x:c>
      <x:c r="Z267" s="11" t="n">
        <x:v>207</x:v>
      </x:c>
      <x:c r="AA267" s="11" t="n">
        <x:v>0</x:v>
      </x:c>
    </x:row>
    <x:row r="268" ht="37" customHeight="1">
      <x:c r="A268" s="2" t="str">
        <x:v>sympy__sympy-14024</x:v>
      </x:c>
      <x:c r="B268" s="2" t="str">
        <x:v>sympy/sympy</x:v>
      </x:c>
      <x:c r="C268" s="2" t="str">
        <x:v>resolved</x:v>
      </x:c>
      <x:c r="D268" s="2" t="str">
        <x:v>已解决</x:v>
      </x:c>
      <x:c r="E268" s="10" t="str">
        <x:v>gold通过，最新attempt未记录API终止、runner启动失败或评测基础设施终止；不代表原始全套测试零失败。</x:v>
      </x:c>
      <x:c r="F268" s="10" t="str"/>
      <x:c r="G268" s="2" t="str">
        <x:v>通过</x:v>
      </x:c>
      <x:c r="H268" s="2" t="str">
        <x:v>limit</x:v>
      </x:c>
      <x:c r="I268" s="11" t="n">
        <x:v>1</x:v>
      </x:c>
      <x:c r="J268" s="11" t="n">
        <x:v>1</x:v>
      </x:c>
      <x:c r="K268" s="11" t="str">
        <x:v>resolved</x:v>
      </x:c>
      <x:c r="L268" s="11" t="n">
        <x:v>2</x:v>
      </x:c>
      <x:c r="M268" s="11" t="n">
        <x:v>0</x:v>
      </x:c>
      <x:c r="N268" s="11" t="n">
        <x:v>83</x:v>
      </x:c>
      <x:c r="O268" s="11" t="n">
        <x:v>0</x:v>
      </x:c>
      <x:c r="P268" s="11" t="n">
        <x:v>790602</x:v>
      </x:c>
      <x:c r="Q268" s="11" t="n">
        <x:v>790602</x:v>
      </x:c>
      <x:c r="R268" s="11" t="n">
        <x:v>64</x:v>
      </x:c>
      <x:c r="S268" s="11" t="n">
        <x:v>64</x:v>
      </x:c>
      <x:c r="T268" s="11" t="n">
        <x:v>60</x:v>
      </x:c>
      <x:c r="U268" s="12" t="n">
        <x:v>236.113</x:v>
      </x:c>
      <x:c r="V268" s="9" t="str">
        <x:v>sympy/core/numbers.py</x:v>
      </x:c>
      <x:c r="W268" s="9" t="str"/>
      <x:c r="X268" s="9" t="str">
        <x:v>task_output-wsl/lite-baseline-001/instances/sympy__sympy-14024/attempt-0001/state.json
task_output-wsl/lite-baseline-001/instances/sympy__sympy-14024/attempt-0001/state.json</x:v>
      </x:c>
      <x:c r="Y268" s="2" t="str">
        <x:v>thinking
tool_use
tool_use</x:v>
      </x:c>
      <x:c r="Z268" s="11" t="n">
        <x:v>1024</x:v>
      </x:c>
      <x:c r="AA268" s="11" t="n">
        <x:v>0</x:v>
      </x:c>
    </x:row>
    <x:row r="269" ht="37" customHeight="1">
      <x:c r="A269" s="2" t="str">
        <x:v>sympy__sympy-14774</x:v>
      </x:c>
      <x:c r="B269" s="2" t="str">
        <x:v>sympy/sympy</x:v>
      </x:c>
      <x:c r="C269" s="2" t="str">
        <x:v>resolved</x:v>
      </x:c>
      <x:c r="D269" s="2" t="str">
        <x:v>已解决</x:v>
      </x:c>
      <x:c r="E269" s="10" t="str">
        <x:v>gold通过，最新attempt未记录API终止、runner启动失败或评测基础设施终止；不代表原始全套测试零失败。</x:v>
      </x:c>
      <x:c r="F269" s="10" t="str"/>
      <x:c r="G269" s="2" t="str">
        <x:v>通过</x:v>
      </x:c>
      <x:c r="H269" s="2" t="str">
        <x:v>completed</x:v>
      </x:c>
      <x:c r="I269" s="11" t="n">
        <x:v>1</x:v>
      </x:c>
      <x:c r="J269" s="11" t="n">
        <x:v>1</x:v>
      </x:c>
      <x:c r="K269" s="11" t="str">
        <x:v>resolved</x:v>
      </x:c>
      <x:c r="L269" s="11" t="n">
        <x:v>1</x:v>
      </x:c>
      <x:c r="M269" s="11" t="n">
        <x:v>0</x:v>
      </x:c>
      <x:c r="N269" s="11" t="n">
        <x:v>114</x:v>
      </x:c>
      <x:c r="O269" s="11" t="n">
        <x:v>0</x:v>
      </x:c>
      <x:c r="P269" s="11" t="n">
        <x:v>101907</x:v>
      </x:c>
      <x:c r="Q269" s="11" t="n">
        <x:v>101907</x:v>
      </x:c>
      <x:c r="R269" s="11" t="n">
        <x:v>16</x:v>
      </x:c>
      <x:c r="S269" s="11" t="n">
        <x:v>16</x:v>
      </x:c>
      <x:c r="T269" s="11" t="n">
        <x:v>16</x:v>
      </x:c>
      <x:c r="U269" s="12" t="n">
        <x:v>23.96</x:v>
      </x:c>
      <x:c r="V269" s="9" t="str">
        <x:v>sympy/physics/vector/printing.py
sympy/printing/latex.py</x:v>
      </x:c>
      <x:c r="W269" s="9" t="str"/>
      <x:c r="X269" s="9" t="str">
        <x:v>task_output-wsl/lite-baseline-001/instances/sympy__sympy-14774/attempt-0001/state.json
task_output-wsl/lite-baseline-001/instances/sympy__sympy-14774/attempt-0001/state.json</x:v>
      </x:c>
      <x:c r="Y269" s="2" t="str">
        <x:v>thinking
text</x:v>
      </x:c>
      <x:c r="Z269" s="11" t="n">
        <x:v>170</x:v>
      </x:c>
      <x:c r="AA269" s="11" t="n">
        <x:v>0</x:v>
      </x:c>
    </x:row>
    <x:row r="270" ht="37" customHeight="1">
      <x:c r="A270" s="2" t="str">
        <x:v>sympy__sympy-14817</x:v>
      </x:c>
      <x:c r="B270" s="2" t="str">
        <x:v>sympy/sympy</x:v>
      </x:c>
      <x:c r="C270" s="2" t="str">
        <x:v>resolved</x:v>
      </x:c>
      <x:c r="D270" s="2" t="str">
        <x:v>已解决</x:v>
      </x:c>
      <x:c r="E270" s="10" t="str">
        <x:v>gold通过，最新attempt未记录API终止、runner启动失败或评测基础设施终止；不代表原始全套测试零失败。</x:v>
      </x:c>
      <x:c r="F270" s="10" t="str"/>
      <x:c r="G270" s="2" t="str">
        <x:v>通过</x:v>
      </x:c>
      <x:c r="H270" s="2" t="str">
        <x:v>completed</x:v>
      </x:c>
      <x:c r="I270" s="11" t="n">
        <x:v>1</x:v>
      </x:c>
      <x:c r="J270" s="11" t="n">
        <x:v>1</x:v>
      </x:c>
      <x:c r="K270" s="11" t="str">
        <x:v>resolved</x:v>
      </x:c>
      <x:c r="L270" s="11" t="n">
        <x:v>1</x:v>
      </x:c>
      <x:c r="M270" s="11" t="n">
        <x:v>0</x:v>
      </x:c>
      <x:c r="N270" s="11" t="n">
        <x:v>111</x:v>
      </x:c>
      <x:c r="O270" s="11" t="n">
        <x:v>0</x:v>
      </x:c>
      <x:c r="P270" s="11" t="n">
        <x:v>421453</x:v>
      </x:c>
      <x:c r="Q270" s="11" t="n">
        <x:v>421453</x:v>
      </x:c>
      <x:c r="R270" s="11" t="n">
        <x:v>41</x:v>
      </x:c>
      <x:c r="S270" s="11" t="n">
        <x:v>41</x:v>
      </x:c>
      <x:c r="T270" s="11" t="n">
        <x:v>40</x:v>
      </x:c>
      <x:c r="U270" s="12" t="n">
        <x:v>92.166</x:v>
      </x:c>
      <x:c r="V270" s="9" t="str">
        <x:v>sympy/printing/pretty/pretty.py</x:v>
      </x:c>
      <x:c r="W270" s="9" t="str"/>
      <x:c r="X270" s="9" t="str">
        <x:v>task_output-wsl/lite-baseline-001/instances/sympy__sympy-14817/attempt-0001/state.json
task_output-wsl/lite-baseline-001/instances/sympy__sympy-14817/attempt-0001/state.json</x:v>
      </x:c>
      <x:c r="Y270" s="2" t="str">
        <x:v>thinking
text</x:v>
      </x:c>
      <x:c r="Z270" s="11" t="n">
        <x:v>285</x:v>
      </x:c>
      <x:c r="AA270" s="11" t="n">
        <x:v>0</x:v>
      </x:c>
    </x:row>
    <x:row r="271" ht="51" customHeight="1">
      <x:c r="A271" s="2" t="str">
        <x:v>sympy__sympy-15011</x:v>
      </x:c>
      <x:c r="B271" s="2" t="str">
        <x:v>sympy/sympy</x:v>
      </x:c>
      <x:c r="C271" s="2" t="str">
        <x:v>resolved</x:v>
      </x:c>
      <x:c r="D271" s="2" t="str">
        <x:v>已解决</x:v>
      </x:c>
      <x:c r="E271" s="10" t="str">
        <x:v>gold通过，最新attempt未记录API终止、runner启动失败或评测基础设施终止；不代表原始全套测试零失败。</x:v>
      </x:c>
      <x:c r="F271" s="10" t="str"/>
      <x:c r="G271" s="2" t="str">
        <x:v>通过</x:v>
      </x:c>
      <x:c r="H271" s="2" t="str">
        <x:v>completed</x:v>
      </x:c>
      <x:c r="I271" s="11" t="n">
        <x:v>1</x:v>
      </x:c>
      <x:c r="J271" s="11" t="n">
        <x:v>1</x:v>
      </x:c>
      <x:c r="K271" s="11" t="str">
        <x:v>resolved</x:v>
      </x:c>
      <x:c r="L271" s="11" t="n">
        <x:v>1</x:v>
      </x:c>
      <x:c r="M271" s="11" t="n">
        <x:v>0</x:v>
      </x:c>
      <x:c r="N271" s="11" t="n">
        <x:v>53</x:v>
      </x:c>
      <x:c r="O271" s="11" t="n">
        <x:v>0</x:v>
      </x:c>
      <x:c r="P271" s="11" t="n">
        <x:v>350996</x:v>
      </x:c>
      <x:c r="Q271" s="11" t="n">
        <x:v>350996</x:v>
      </x:c>
      <x:c r="R271" s="11" t="n">
        <x:v>31</x:v>
      </x:c>
      <x:c r="S271" s="11" t="n">
        <x:v>31</x:v>
      </x:c>
      <x:c r="T271" s="11" t="n">
        <x:v>31</x:v>
      </x:c>
      <x:c r="U271" s="12" t="n">
        <x:v>98.127</x:v>
      </x:c>
      <x:c r="V271" s="9" t="str">
        <x:v>sympy/utilities/lambdify.py
sympy/utilities/tests/test_lambdify.py
wrapper_module_0.pyx</x:v>
      </x:c>
      <x:c r="W271" s="9" t="str"/>
      <x:c r="X271" s="9" t="str">
        <x:v>task_output-wsl/lite-baseline-001/instances/sympy__sympy-15011/attempt-0001/state.json
task_output-wsl/lite-baseline-001/instances/sympy__sympy-15011/attempt-0001/state.json</x:v>
      </x:c>
      <x:c r="Y271" s="2" t="str">
        <x:v>thinking
text</x:v>
      </x:c>
      <x:c r="Z271" s="11" t="n">
        <x:v>368</x:v>
      </x:c>
      <x:c r="AA271" s="11" t="n">
        <x:v>0</x:v>
      </x:c>
    </x:row>
    <x:row r="272" ht="37" customHeight="1">
      <x:c r="A272" s="2" t="str">
        <x:v>sympy__sympy-15345</x:v>
      </x:c>
      <x:c r="B272" s="2" t="str">
        <x:v>sympy/sympy</x:v>
      </x:c>
      <x:c r="C272" s="2" t="str">
        <x:v>resolved</x:v>
      </x:c>
      <x:c r="D272" s="2" t="str">
        <x:v>已解决</x:v>
      </x:c>
      <x:c r="E272" s="10" t="str">
        <x:v>gold通过，最新attempt未记录API终止、runner启动失败或评测基础设施终止；不代表原始全套测试零失败。</x:v>
      </x:c>
      <x:c r="F272" s="10" t="str"/>
      <x:c r="G272" s="2" t="str">
        <x:v>通过</x:v>
      </x:c>
      <x:c r="H272" s="2" t="str">
        <x:v>completed</x:v>
      </x:c>
      <x:c r="I272" s="11" t="n">
        <x:v>1</x:v>
      </x:c>
      <x:c r="J272" s="11" t="n">
        <x:v>1</x:v>
      </x:c>
      <x:c r="K272" s="11" t="str">
        <x:v>resolved</x:v>
      </x:c>
      <x:c r="L272" s="11" t="n">
        <x:v>1</x:v>
      </x:c>
      <x:c r="M272" s="11" t="n">
        <x:v>0</x:v>
      </x:c>
      <x:c r="N272" s="11" t="n">
        <x:v>8</x:v>
      </x:c>
      <x:c r="O272" s="11" t="n">
        <x:v>0</x:v>
      </x:c>
      <x:c r="P272" s="11" t="n">
        <x:v>114663</x:v>
      </x:c>
      <x:c r="Q272" s="11" t="n">
        <x:v>114663</x:v>
      </x:c>
      <x:c r="R272" s="11" t="n">
        <x:v>16</x:v>
      </x:c>
      <x:c r="S272" s="11" t="n">
        <x:v>16</x:v>
      </x:c>
      <x:c r="T272" s="11" t="n">
        <x:v>16</x:v>
      </x:c>
      <x:c r="U272" s="12" t="n">
        <x:v>31.369</x:v>
      </x:c>
      <x:c r="V272" s="9" t="str">
        <x:v>sympy/printing/mathematica.py
sympy/printing/tests/test_mathematica.py</x:v>
      </x:c>
      <x:c r="W272" s="9" t="str"/>
      <x:c r="X272" s="9" t="str">
        <x:v>task_output-wsl/lite-baseline-001/instances/sympy__sympy-15345/attempt-0001/state.json
task_output-wsl/lite-baseline-001/instances/sympy__sympy-15345/attempt-0001/state.json</x:v>
      </x:c>
      <x:c r="Y272" s="2" t="str">
        <x:v>thinking
text</x:v>
      </x:c>
      <x:c r="Z272" s="11" t="n">
        <x:v>508</x:v>
      </x:c>
      <x:c r="AA272" s="11" t="n">
        <x:v>0</x:v>
      </x:c>
    </x:row>
    <x:row r="273" ht="37" customHeight="1">
      <x:c r="A273" s="2" t="str">
        <x:v>sympy__sympy-15346</x:v>
      </x:c>
      <x:c r="B273" s="2" t="str">
        <x:v>sympy/sympy</x:v>
      </x:c>
      <x:c r="C273" s="2" t="str">
        <x:v>resolved</x:v>
      </x:c>
      <x:c r="D273" s="2" t="str">
        <x:v>已解决</x:v>
      </x:c>
      <x:c r="E273" s="10" t="str">
        <x:v>gold通过，最新attempt未记录API终止、runner启动失败或评测基础设施终止；不代表原始全套测试零失败。</x:v>
      </x:c>
      <x:c r="F273" s="10" t="str"/>
      <x:c r="G273" s="2" t="str">
        <x:v>通过</x:v>
      </x:c>
      <x:c r="H273" s="2" t="str">
        <x:v>limit</x:v>
      </x:c>
      <x:c r="I273" s="11" t="n">
        <x:v>1</x:v>
      </x:c>
      <x:c r="J273" s="11" t="n">
        <x:v>1</x:v>
      </x:c>
      <x:c r="K273" s="11" t="str">
        <x:v>resolved</x:v>
      </x:c>
      <x:c r="L273" s="11" t="n">
        <x:v>1</x:v>
      </x:c>
      <x:c r="M273" s="11" t="n">
        <x:v>0</x:v>
      </x:c>
      <x:c r="N273" s="11" t="n">
        <x:v>22</x:v>
      </x:c>
      <x:c r="O273" s="11" t="n">
        <x:v>0</x:v>
      </x:c>
      <x:c r="P273" s="11" t="n">
        <x:v>725882</x:v>
      </x:c>
      <x:c r="Q273" s="11" t="n">
        <x:v>725882</x:v>
      </x:c>
      <x:c r="R273" s="11" t="n">
        <x:v>62</x:v>
      </x:c>
      <x:c r="S273" s="11" t="n">
        <x:v>62</x:v>
      </x:c>
      <x:c r="T273" s="11" t="n">
        <x:v>60</x:v>
      </x:c>
      <x:c r="U273" s="12" t="n">
        <x:v>198.119</x:v>
      </x:c>
      <x:c r="V273" s="9" t="str">
        <x:v>sympy/simplify/trigsimp.py</x:v>
      </x:c>
      <x:c r="W273" s="9" t="str"/>
      <x:c r="X273" s="9" t="str">
        <x:v>task_output-wsl/lite-baseline-001/instances/sympy__sympy-15346/attempt-0001/state.json
task_output-wsl/lite-baseline-001/instances/sympy__sympy-15346/attempt-0001/state.json</x:v>
      </x:c>
      <x:c r="Y273" s="2" t="str">
        <x:v>thinking
tool_use</x:v>
      </x:c>
      <x:c r="Z273" s="11" t="n">
        <x:v>249</x:v>
      </x:c>
      <x:c r="AA273" s="11" t="n">
        <x:v>0</x:v>
      </x:c>
    </x:row>
    <x:row r="274" ht="37" customHeight="1">
      <x:c r="A274" s="2" t="str">
        <x:v>sympy__sympy-15609</x:v>
      </x:c>
      <x:c r="B274" s="2" t="str">
        <x:v>sympy/sympy</x:v>
      </x:c>
      <x:c r="C274" s="2" t="str">
        <x:v>resolved</x:v>
      </x:c>
      <x:c r="D274" s="2" t="str">
        <x:v>已解决</x:v>
      </x:c>
      <x:c r="E274" s="10" t="str">
        <x:v>gold通过，最新attempt未记录API终止、runner启动失败或评测基础设施终止；不代表原始全套测试零失败。</x:v>
      </x:c>
      <x:c r="F274" s="10" t="str"/>
      <x:c r="G274" s="2" t="str">
        <x:v>通过</x:v>
      </x:c>
      <x:c r="H274" s="2" t="str">
        <x:v>completed</x:v>
      </x:c>
      <x:c r="I274" s="11" t="n">
        <x:v>1</x:v>
      </x:c>
      <x:c r="J274" s="11" t="n">
        <x:v>1</x:v>
      </x:c>
      <x:c r="K274" s="11" t="str">
        <x:v>resolved</x:v>
      </x:c>
      <x:c r="L274" s="11" t="n">
        <x:v>1</x:v>
      </x:c>
      <x:c r="M274" s="11" t="n">
        <x:v>0</x:v>
      </x:c>
      <x:c r="N274" s="11" t="n">
        <x:v>121</x:v>
      </x:c>
      <x:c r="O274" s="11" t="n">
        <x:v>0</x:v>
      </x:c>
      <x:c r="P274" s="11" t="n">
        <x:v>258891</x:v>
      </x:c>
      <x:c r="Q274" s="11" t="n">
        <x:v>258891</x:v>
      </x:c>
      <x:c r="R274" s="11" t="n">
        <x:v>27</x:v>
      </x:c>
      <x:c r="S274" s="11" t="n">
        <x:v>27</x:v>
      </x:c>
      <x:c r="T274" s="11" t="n">
        <x:v>26</x:v>
      </x:c>
      <x:c r="U274" s="12" t="n">
        <x:v>68.309</x:v>
      </x:c>
      <x:c r="V274" s="9" t="str">
        <x:v>sympy/printing/latex.py</x:v>
      </x:c>
      <x:c r="W274" s="9" t="str"/>
      <x:c r="X274" s="9" t="str">
        <x:v>task_output-wsl/lite-baseline-001/instances/sympy__sympy-15609/attempt-0001/state.json
task_output-wsl/lite-baseline-001/instances/sympy__sympy-15609/attempt-0001/state.json</x:v>
      </x:c>
      <x:c r="Y274" s="2" t="str">
        <x:v>thinking
text</x:v>
      </x:c>
      <x:c r="Z274" s="11" t="n">
        <x:v>277</x:v>
      </x:c>
      <x:c r="AA274" s="11" t="n">
        <x:v>0</x:v>
      </x:c>
    </x:row>
    <x:row r="275" ht="37" customHeight="1">
      <x:c r="A275" s="2" t="str">
        <x:v>sympy__sympy-15678</x:v>
      </x:c>
      <x:c r="B275" s="2" t="str">
        <x:v>sympy/sympy</x:v>
      </x:c>
      <x:c r="C275" s="2" t="str">
        <x:v>resolved</x:v>
      </x:c>
      <x:c r="D275" s="2" t="str">
        <x:v>已解决</x:v>
      </x:c>
      <x:c r="E275" s="10" t="str">
        <x:v>gold通过，最新attempt未记录API终止、runner启动失败或评测基础设施终止；不代表原始全套测试零失败。</x:v>
      </x:c>
      <x:c r="F275" s="10" t="str"/>
      <x:c r="G275" s="2" t="str">
        <x:v>通过</x:v>
      </x:c>
      <x:c r="H275" s="2" t="str">
        <x:v>completed</x:v>
      </x:c>
      <x:c r="I275" s="11" t="n">
        <x:v>1</x:v>
      </x:c>
      <x:c r="J275" s="11" t="n">
        <x:v>1</x:v>
      </x:c>
      <x:c r="K275" s="11" t="str">
        <x:v>resolved</x:v>
      </x:c>
      <x:c r="L275" s="11" t="n">
        <x:v>1</x:v>
      </x:c>
      <x:c r="M275" s="11" t="n">
        <x:v>0</x:v>
      </x:c>
      <x:c r="N275" s="11" t="n">
        <x:v>3</x:v>
      </x:c>
      <x:c r="O275" s="11" t="n">
        <x:v>0</x:v>
      </x:c>
      <x:c r="P275" s="11" t="n">
        <x:v>146869</x:v>
      </x:c>
      <x:c r="Q275" s="11" t="n">
        <x:v>146869</x:v>
      </x:c>
      <x:c r="R275" s="11" t="n">
        <x:v>14</x:v>
      </x:c>
      <x:c r="S275" s="11" t="n">
        <x:v>14</x:v>
      </x:c>
      <x:c r="T275" s="11" t="n">
        <x:v>14</x:v>
      </x:c>
      <x:c r="U275" s="12" t="n">
        <x:v>75.069</x:v>
      </x:c>
      <x:c r="V275" s="9" t="str">
        <x:v>sympy/geometry/util.py</x:v>
      </x:c>
      <x:c r="W275" s="9" t="str"/>
      <x:c r="X275" s="9" t="str">
        <x:v>task_output-wsl/lite-baseline-001/instances/sympy__sympy-15678/attempt-0001/state.json
task_output-wsl/lite-baseline-001/instances/sympy__sympy-15678/attempt-0001/state.json</x:v>
      </x:c>
      <x:c r="Y275" s="2" t="str">
        <x:v>thinking
text</x:v>
      </x:c>
      <x:c r="Z275" s="11" t="n">
        <x:v>188</x:v>
      </x:c>
      <x:c r="AA275" s="11" t="n">
        <x:v>0</x:v>
      </x:c>
    </x:row>
    <x:row r="276" ht="37" customHeight="1">
      <x:c r="A276" s="2" t="str">
        <x:v>sympy__sympy-16106</x:v>
      </x:c>
      <x:c r="B276" s="2" t="str">
        <x:v>sympy/sympy</x:v>
      </x:c>
      <x:c r="C276" s="2" t="str">
        <x:v>resolved</x:v>
      </x:c>
      <x:c r="D276" s="2" t="str">
        <x:v>已解决</x:v>
      </x:c>
      <x:c r="E276" s="10" t="str">
        <x:v>gold通过，最新attempt未记录API终止、runner启动失败或评测基础设施终止；不代表原始全套测试零失败。</x:v>
      </x:c>
      <x:c r="F276" s="10" t="str"/>
      <x:c r="G276" s="2" t="str">
        <x:v>通过</x:v>
      </x:c>
      <x:c r="H276" s="2" t="str">
        <x:v>completed</x:v>
      </x:c>
      <x:c r="I276" s="11" t="n">
        <x:v>1</x:v>
      </x:c>
      <x:c r="J276" s="11" t="n">
        <x:v>1</x:v>
      </x:c>
      <x:c r="K276" s="11" t="str">
        <x:v>resolved</x:v>
      </x:c>
      <x:c r="L276" s="11" t="n">
        <x:v>1</x:v>
      </x:c>
      <x:c r="M276" s="11" t="n">
        <x:v>0</x:v>
      </x:c>
      <x:c r="N276" s="11" t="n">
        <x:v>55</x:v>
      </x:c>
      <x:c r="O276" s="11" t="n">
        <x:v>0</x:v>
      </x:c>
      <x:c r="P276" s="11" t="n">
        <x:v>492213</x:v>
      </x:c>
      <x:c r="Q276" s="11" t="n">
        <x:v>492213</x:v>
      </x:c>
      <x:c r="R276" s="11" t="n">
        <x:v>45</x:v>
      </x:c>
      <x:c r="S276" s="11" t="n">
        <x:v>45</x:v>
      </x:c>
      <x:c r="T276" s="11" t="n">
        <x:v>43</x:v>
      </x:c>
      <x:c r="U276" s="12" t="n">
        <x:v>110.723</x:v>
      </x:c>
      <x:c r="V276" s="9" t="str">
        <x:v>sympy/printing/mathml.py</x:v>
      </x:c>
      <x:c r="W276" s="9" t="str"/>
      <x:c r="X276" s="9" t="str">
        <x:v>task_output-wsl/lite-baseline-001/instances/sympy__sympy-16106/attempt-0001/state.json
task_output-wsl/lite-baseline-001/instances/sympy__sympy-16106/attempt-0001/state.json</x:v>
      </x:c>
      <x:c r="Y276" s="2" t="str">
        <x:v>thinking
text</x:v>
      </x:c>
      <x:c r="Z276" s="11" t="n">
        <x:v>163</x:v>
      </x:c>
      <x:c r="AA276" s="11" t="n">
        <x:v>0</x:v>
      </x:c>
    </x:row>
    <x:row r="277" ht="37" customHeight="1">
      <x:c r="A277" s="2" t="str">
        <x:v>sympy__sympy-16281</x:v>
      </x:c>
      <x:c r="B277" s="2" t="str">
        <x:v>sympy/sympy</x:v>
      </x:c>
      <x:c r="C277" s="2" t="str">
        <x:v>resolved</x:v>
      </x:c>
      <x:c r="D277" s="2" t="str">
        <x:v>已解决</x:v>
      </x:c>
      <x:c r="E277" s="10" t="str">
        <x:v>gold通过，最新attempt未记录API终止、runner启动失败或评测基础设施终止；不代表原始全套测试零失败。</x:v>
      </x:c>
      <x:c r="F277" s="10" t="str"/>
      <x:c r="G277" s="2" t="str">
        <x:v>通过</x:v>
      </x:c>
      <x:c r="H277" s="2" t="str">
        <x:v>completed</x:v>
      </x:c>
      <x:c r="I277" s="11" t="n">
        <x:v>1</x:v>
      </x:c>
      <x:c r="J277" s="11" t="n">
        <x:v>1</x:v>
      </x:c>
      <x:c r="K277" s="11" t="str">
        <x:v>resolved</x:v>
      </x:c>
      <x:c r="L277" s="11" t="n">
        <x:v>2</x:v>
      </x:c>
      <x:c r="M277" s="11" t="n">
        <x:v>0</x:v>
      </x:c>
      <x:c r="N277" s="11" t="n">
        <x:v>120</x:v>
      </x:c>
      <x:c r="O277" s="11" t="n">
        <x:v>0</x:v>
      </x:c>
      <x:c r="P277" s="11" t="n">
        <x:v>594140</x:v>
      </x:c>
      <x:c r="Q277" s="11" t="n">
        <x:v>594140</x:v>
      </x:c>
      <x:c r="R277" s="11" t="n">
        <x:v>50</x:v>
      </x:c>
      <x:c r="S277" s="11" t="n">
        <x:v>50</x:v>
      </x:c>
      <x:c r="T277" s="11" t="n">
        <x:v>48</x:v>
      </x:c>
      <x:c r="U277" s="12" t="n">
        <x:v>209.609</x:v>
      </x:c>
      <x:c r="V277" s="9" t="str">
        <x:v>sympy/printing/pretty/pretty.py</x:v>
      </x:c>
      <x:c r="W277" s="9" t="str"/>
      <x:c r="X277" s="9" t="str">
        <x:v>task_output-wsl/lite-baseline-001/instances/sympy__sympy-16281/attempt-0001/state.json
task_output-wsl/lite-baseline-001/instances/sympy__sympy-16281/attempt-0001/state.json</x:v>
      </x:c>
      <x:c r="Y277" s="2" t="str">
        <x:v>thinking
text</x:v>
      </x:c>
      <x:c r="Z277" s="11" t="n">
        <x:v>399</x:v>
      </x:c>
      <x:c r="AA277" s="11" t="n">
        <x:v>0</x:v>
      </x:c>
    </x:row>
    <x:row r="278" ht="37" customHeight="1">
      <x:c r="A278" s="2" t="str">
        <x:v>sympy__sympy-16792</x:v>
      </x:c>
      <x:c r="B278" s="2" t="str">
        <x:v>sympy/sympy</x:v>
      </x:c>
      <x:c r="C278" s="2" t="str">
        <x:v>resolved</x:v>
      </x:c>
      <x:c r="D278" s="2" t="str">
        <x:v>已解决</x:v>
      </x:c>
      <x:c r="E278" s="10" t="str">
        <x:v>gold通过，最新attempt未记录API终止、runner启动失败或评测基础设施终止；不代表原始全套测试零失败。</x:v>
      </x:c>
      <x:c r="F278" s="10" t="str"/>
      <x:c r="G278" s="2" t="str">
        <x:v>通过</x:v>
      </x:c>
      <x:c r="H278" s="2" t="str">
        <x:v>limit</x:v>
      </x:c>
      <x:c r="I278" s="11" t="n">
        <x:v>1</x:v>
      </x:c>
      <x:c r="J278" s="11" t="n">
        <x:v>1</x:v>
      </x:c>
      <x:c r="K278" s="11" t="str">
        <x:v>resolved</x:v>
      </x:c>
      <x:c r="L278" s="11" t="n">
        <x:v>1</x:v>
      </x:c>
      <x:c r="M278" s="11" t="n">
        <x:v>0</x:v>
      </x:c>
      <x:c r="N278" s="11" t="n">
        <x:v>54</x:v>
      </x:c>
      <x:c r="O278" s="11" t="n">
        <x:v>0</x:v>
      </x:c>
      <x:c r="P278" s="11" t="n">
        <x:v>681369</x:v>
      </x:c>
      <x:c r="Q278" s="11" t="n">
        <x:v>681369</x:v>
      </x:c>
      <x:c r="R278" s="11" t="n">
        <x:v>62</x:v>
      </x:c>
      <x:c r="S278" s="11" t="n">
        <x:v>62</x:v>
      </x:c>
      <x:c r="T278" s="11" t="n">
        <x:v>60</x:v>
      </x:c>
      <x:c r="U278" s="12" t="n">
        <x:v>154.841</x:v>
      </x:c>
      <x:c r="V278" s="9" t="str">
        <x:v>sympy/utilities/codegen.py</x:v>
      </x:c>
      <x:c r="W278" s="9" t="str"/>
      <x:c r="X278" s="9" t="str">
        <x:v>task_output-wsl/lite-baseline-001/instances/sympy__sympy-16792/attempt-0001/state.json
task_output-wsl/lite-baseline-001/instances/sympy__sympy-16792/attempt-0001/state.json</x:v>
      </x:c>
      <x:c r="Y278" s="2" t="str">
        <x:v>thinking
tool_use
tool_use</x:v>
      </x:c>
      <x:c r="Z278" s="11" t="n">
        <x:v>417</x:v>
      </x:c>
      <x:c r="AA278" s="11" t="n">
        <x:v>0</x:v>
      </x:c>
    </x:row>
    <x:row r="279" ht="37" customHeight="1">
      <x:c r="A279" s="2" t="str">
        <x:v>sympy__sympy-17139</x:v>
      </x:c>
      <x:c r="B279" s="2" t="str">
        <x:v>sympy/sympy</x:v>
      </x:c>
      <x:c r="C279" s="2" t="str">
        <x:v>resolved</x:v>
      </x:c>
      <x:c r="D279" s="2" t="str">
        <x:v>已解决</x:v>
      </x:c>
      <x:c r="E279" s="10" t="str">
        <x:v>gold通过，最新attempt未记录API终止、runner启动失败或评测基础设施终止；不代表原始全套测试零失败。</x:v>
      </x:c>
      <x:c r="F279" s="10" t="str"/>
      <x:c r="G279" s="2" t="str">
        <x:v>通过</x:v>
      </x:c>
      <x:c r="H279" s="2" t="str">
        <x:v>completed</x:v>
      </x:c>
      <x:c r="I279" s="11" t="n">
        <x:v>1</x:v>
      </x:c>
      <x:c r="J279" s="11" t="n">
        <x:v>1</x:v>
      </x:c>
      <x:c r="K279" s="11" t="str">
        <x:v>resolved</x:v>
      </x:c>
      <x:c r="L279" s="11" t="n">
        <x:v>2</x:v>
      </x:c>
      <x:c r="M279" s="11" t="n">
        <x:v>0</x:v>
      </x:c>
      <x:c r="N279" s="11" t="n">
        <x:v>67</x:v>
      </x:c>
      <x:c r="O279" s="11" t="n">
        <x:v>0</x:v>
      </x:c>
      <x:c r="P279" s="11" t="n">
        <x:v>128197</x:v>
      </x:c>
      <x:c r="Q279" s="11" t="n">
        <x:v>128197</x:v>
      </x:c>
      <x:c r="R279" s="11" t="n">
        <x:v>15</x:v>
      </x:c>
      <x:c r="S279" s="11" t="n">
        <x:v>15</x:v>
      </x:c>
      <x:c r="T279" s="11" t="n">
        <x:v>15</x:v>
      </x:c>
      <x:c r="U279" s="12" t="n">
        <x:v>44.9</x:v>
      </x:c>
      <x:c r="V279" s="9" t="str">
        <x:v>sympy/simplify/fu.py</x:v>
      </x:c>
      <x:c r="W279" s="9" t="str"/>
      <x:c r="X279" s="9" t="str">
        <x:v>task_output-wsl/lite-baseline-001/instances/sympy__sympy-17139/attempt-0001/state.json
task_output-wsl/lite-baseline-001/instances/sympy__sympy-17139/attempt-0001/state.json</x:v>
      </x:c>
      <x:c r="Y279" s="2" t="str">
        <x:v>thinking
text</x:v>
      </x:c>
      <x:c r="Z279" s="11" t="n">
        <x:v>416</x:v>
      </x:c>
      <x:c r="AA279" s="11" t="n">
        <x:v>0</x:v>
      </x:c>
    </x:row>
    <x:row r="280" ht="51" customHeight="1">
      <x:c r="A280" s="2" t="str">
        <x:v>sympy__sympy-18087</x:v>
      </x:c>
      <x:c r="B280" s="2" t="str">
        <x:v>sympy/sympy</x:v>
      </x:c>
      <x:c r="C280" s="2" t="str">
        <x:v>resolved</x:v>
      </x:c>
      <x:c r="D280" s="2" t="str">
        <x:v>已解决</x:v>
      </x:c>
      <x:c r="E280" s="10" t="str">
        <x:v>gold通过，最新attempt未记录API终止、runner启动失败或评测基础设施终止；不代表原始全套测试零失败。</x:v>
      </x:c>
      <x:c r="F280" s="10" t="str"/>
      <x:c r="G280" s="2" t="str">
        <x:v>通过</x:v>
      </x:c>
      <x:c r="H280" s="2" t="str">
        <x:v>completed</x:v>
      </x:c>
      <x:c r="I280" s="11" t="n">
        <x:v>1</x:v>
      </x:c>
      <x:c r="J280" s="11" t="n">
        <x:v>1</x:v>
      </x:c>
      <x:c r="K280" s="11" t="str">
        <x:v>resolved</x:v>
      </x:c>
      <x:c r="L280" s="11" t="n">
        <x:v>2</x:v>
      </x:c>
      <x:c r="M280" s="11" t="n">
        <x:v>0</x:v>
      </x:c>
      <x:c r="N280" s="11" t="n">
        <x:v>35</x:v>
      </x:c>
      <x:c r="O280" s="11" t="n">
        <x:v>0</x:v>
      </x:c>
      <x:c r="P280" s="11" t="n">
        <x:v>547099</x:v>
      </x:c>
      <x:c r="Q280" s="11" t="n">
        <x:v>547099</x:v>
      </x:c>
      <x:c r="R280" s="11" t="n">
        <x:v>49</x:v>
      </x:c>
      <x:c r="S280" s="11" t="n">
        <x:v>49</x:v>
      </x:c>
      <x:c r="T280" s="11" t="n">
        <x:v>48</x:v>
      </x:c>
      <x:c r="U280" s="12" t="n">
        <x:v>237.19</x:v>
      </x:c>
      <x:c r="V280" s="9" t="str">
        <x:v>sympy/core/exprtools.py
sympy/core/tests/test_exprtools.py
sympy/simplify/tests/test_trigsimp.py</x:v>
      </x:c>
      <x:c r="W280" s="9" t="str"/>
      <x:c r="X280" s="9" t="str">
        <x:v>task_output-wsl/lite-baseline-001/instances/sympy__sympy-18087/attempt-0001/state.json
task_output-wsl/lite-baseline-001/instances/sympy__sympy-18087/attempt-0001/state.json</x:v>
      </x:c>
      <x:c r="Y280" s="2" t="str">
        <x:v>thinking
text</x:v>
      </x:c>
      <x:c r="Z280" s="11" t="n">
        <x:v>444</x:v>
      </x:c>
      <x:c r="AA280" s="11" t="n">
        <x:v>0</x:v>
      </x:c>
    </x:row>
    <x:row r="281" ht="37" customHeight="1">
      <x:c r="A281" s="2" t="str">
        <x:v>sympy__sympy-18189</x:v>
      </x:c>
      <x:c r="B281" s="2" t="str">
        <x:v>sympy/sympy</x:v>
      </x:c>
      <x:c r="C281" s="2" t="str">
        <x:v>resolved</x:v>
      </x:c>
      <x:c r="D281" s="2" t="str">
        <x:v>已解决</x:v>
      </x:c>
      <x:c r="E281" s="10" t="str">
        <x:v>gold通过，最新attempt未记录API终止、runner启动失败或评测基础设施终止；不代表原始全套测试零失败。</x:v>
      </x:c>
      <x:c r="F281" s="10" t="str"/>
      <x:c r="G281" s="2" t="str">
        <x:v>通过</x:v>
      </x:c>
      <x:c r="H281" s="2" t="str">
        <x:v>completed</x:v>
      </x:c>
      <x:c r="I281" s="11" t="n">
        <x:v>1</x:v>
      </x:c>
      <x:c r="J281" s="11" t="n">
        <x:v>1</x:v>
      </x:c>
      <x:c r="K281" s="11" t="str">
        <x:v>resolved</x:v>
      </x:c>
      <x:c r="L281" s="11" t="n">
        <x:v>1</x:v>
      </x:c>
      <x:c r="M281" s="11" t="n">
        <x:v>0</x:v>
      </x:c>
      <x:c r="N281" s="11" t="n">
        <x:v>41</x:v>
      </x:c>
      <x:c r="O281" s="11" t="n">
        <x:v>0</x:v>
      </x:c>
      <x:c r="P281" s="11" t="n">
        <x:v>138195</x:v>
      </x:c>
      <x:c r="Q281" s="11" t="n">
        <x:v>138195</x:v>
      </x:c>
      <x:c r="R281" s="11" t="n">
        <x:v>18</x:v>
      </x:c>
      <x:c r="S281" s="11" t="n">
        <x:v>18</x:v>
      </x:c>
      <x:c r="T281" s="11" t="n">
        <x:v>18</x:v>
      </x:c>
      <x:c r="U281" s="12" t="n">
        <x:v>39.85</x:v>
      </x:c>
      <x:c r="V281" s="9" t="str">
        <x:v>sympy/solvers/diophantine.py
sympy/solvers/tests/test_diophantine.py</x:v>
      </x:c>
      <x:c r="W281" s="9" t="str"/>
      <x:c r="X281" s="9" t="str">
        <x:v>task_output-wsl/lite-baseline-001/instances/sympy__sympy-18189/attempt-0001/state.json
task_output-wsl/lite-baseline-001/instances/sympy__sympy-18189/attempt-0001/state.json</x:v>
      </x:c>
      <x:c r="Y281" s="2" t="str">
        <x:v>thinking
text</x:v>
      </x:c>
      <x:c r="Z281" s="11" t="n">
        <x:v>272</x:v>
      </x:c>
      <x:c r="AA281" s="11" t="n">
        <x:v>0</x:v>
      </x:c>
    </x:row>
    <x:row r="282" ht="37" customHeight="1">
      <x:c r="A282" s="2" t="str">
        <x:v>sympy__sympy-18532</x:v>
      </x:c>
      <x:c r="B282" s="2" t="str">
        <x:v>sympy/sympy</x:v>
      </x:c>
      <x:c r="C282" s="2" t="str">
        <x:v>resolved</x:v>
      </x:c>
      <x:c r="D282" s="2" t="str">
        <x:v>已解决</x:v>
      </x:c>
      <x:c r="E282" s="10" t="str">
        <x:v>gold通过，最新attempt未记录API终止、runner启动失败或评测基础设施终止；不代表原始全套测试零失败。</x:v>
      </x:c>
      <x:c r="F282" s="10" t="str"/>
      <x:c r="G282" s="2" t="str">
        <x:v>通过</x:v>
      </x:c>
      <x:c r="H282" s="2" t="str">
        <x:v>limit</x:v>
      </x:c>
      <x:c r="I282" s="11" t="n">
        <x:v>1</x:v>
      </x:c>
      <x:c r="J282" s="11" t="n">
        <x:v>1</x:v>
      </x:c>
      <x:c r="K282" s="11" t="str">
        <x:v>resolved</x:v>
      </x:c>
      <x:c r="L282" s="11" t="n">
        <x:v>2</x:v>
      </x:c>
      <x:c r="M282" s="11" t="n">
        <x:v>0</x:v>
      </x:c>
      <x:c r="N282" s="11" t="n">
        <x:v>28</x:v>
      </x:c>
      <x:c r="O282" s="11" t="n">
        <x:v>0</x:v>
      </x:c>
      <x:c r="P282" s="11" t="n">
        <x:v>707826</x:v>
      </x:c>
      <x:c r="Q282" s="11" t="n">
        <x:v>707826</x:v>
      </x:c>
      <x:c r="R282" s="11" t="n">
        <x:v>63</x:v>
      </x:c>
      <x:c r="S282" s="11" t="n">
        <x:v>63</x:v>
      </x:c>
      <x:c r="T282" s="11" t="n">
        <x:v>60</x:v>
      </x:c>
      <x:c r="U282" s="12" t="n">
        <x:v>255.908</x:v>
      </x:c>
      <x:c r="V282" s="9" t="str">
        <x:v>sympy/core/basic.py
sympy/matrices/common.py</x:v>
      </x:c>
      <x:c r="W282" s="9" t="str"/>
      <x:c r="X282" s="9" t="str">
        <x:v>task_output-wsl/lite-baseline-001/instances/sympy__sympy-18532/attempt-0001/state.json
task_output-wsl/lite-baseline-001/instances/sympy__sympy-18532/attempt-0001/state.json</x:v>
      </x:c>
      <x:c r="Y282" s="2" t="str">
        <x:v>thinking
tool_use
tool_use</x:v>
      </x:c>
      <x:c r="Z282" s="11" t="n">
        <x:v>218</x:v>
      </x:c>
      <x:c r="AA282" s="11" t="n">
        <x:v>0</x:v>
      </x:c>
    </x:row>
    <x:row r="283" ht="37" customHeight="1">
      <x:c r="A283" s="2" t="str">
        <x:v>sympy__sympy-18621</x:v>
      </x:c>
      <x:c r="B283" s="2" t="str">
        <x:v>sympy/sympy</x:v>
      </x:c>
      <x:c r="C283" s="2" t="str">
        <x:v>resolved</x:v>
      </x:c>
      <x:c r="D283" s="2" t="str">
        <x:v>已解决</x:v>
      </x:c>
      <x:c r="E283" s="10" t="str">
        <x:v>gold通过，最新attempt未记录API终止、runner启动失败或评测基础设施终止；不代表原始全套测试零失败。</x:v>
      </x:c>
      <x:c r="F283" s="10" t="str"/>
      <x:c r="G283" s="2" t="str">
        <x:v>通过</x:v>
      </x:c>
      <x:c r="H283" s="2" t="str">
        <x:v>completed</x:v>
      </x:c>
      <x:c r="I283" s="11" t="n">
        <x:v>1</x:v>
      </x:c>
      <x:c r="J283" s="11" t="n">
        <x:v>1</x:v>
      </x:c>
      <x:c r="K283" s="11" t="str">
        <x:v>resolved</x:v>
      </x:c>
      <x:c r="L283" s="11" t="n">
        <x:v>1</x:v>
      </x:c>
      <x:c r="M283" s="11" t="n">
        <x:v>0</x:v>
      </x:c>
      <x:c r="N283" s="11" t="n">
        <x:v>15</x:v>
      </x:c>
      <x:c r="O283" s="11" t="n">
        <x:v>0</x:v>
      </x:c>
      <x:c r="P283" s="11" t="n">
        <x:v>158367</x:v>
      </x:c>
      <x:c r="Q283" s="11" t="n">
        <x:v>158367</x:v>
      </x:c>
      <x:c r="R283" s="11" t="n">
        <x:v>15</x:v>
      </x:c>
      <x:c r="S283" s="11" t="n">
        <x:v>15</x:v>
      </x:c>
      <x:c r="T283" s="11" t="n">
        <x:v>15</x:v>
      </x:c>
      <x:c r="U283" s="12" t="n">
        <x:v>45.301</x:v>
      </x:c>
      <x:c r="V283" s="9" t="str">
        <x:v>sympy/matrices/expressions/blockmatrix.py</x:v>
      </x:c>
      <x:c r="W283" s="9" t="str"/>
      <x:c r="X283" s="9" t="str">
        <x:v>task_output-wsl/lite-baseline-001/instances/sympy__sympy-18621/attempt-0001/state.json
task_output-wsl/lite-baseline-001/instances/sympy__sympy-18621/attempt-0001/state.json</x:v>
      </x:c>
      <x:c r="Y283" s="2" t="str">
        <x:v>thinking
text</x:v>
      </x:c>
      <x:c r="Z283" s="11" t="n">
        <x:v>511</x:v>
      </x:c>
      <x:c r="AA283" s="11" t="n">
        <x:v>0</x:v>
      </x:c>
    </x:row>
    <x:row r="284" ht="37" customHeight="1">
      <x:c r="A284" s="2" t="str">
        <x:v>sympy__sympy-18698</x:v>
      </x:c>
      <x:c r="B284" s="2" t="str">
        <x:v>sympy/sympy</x:v>
      </x:c>
      <x:c r="C284" s="2" t="str">
        <x:v>resolved</x:v>
      </x:c>
      <x:c r="D284" s="2" t="str">
        <x:v>已解决</x:v>
      </x:c>
      <x:c r="E284" s="10" t="str">
        <x:v>gold通过，最新attempt未记录API终止、runner启动失败或评测基础设施终止；不代表原始全套测试零失败。</x:v>
      </x:c>
      <x:c r="F284" s="10" t="str"/>
      <x:c r="G284" s="2" t="str">
        <x:v>通过</x:v>
      </x:c>
      <x:c r="H284" s="2" t="str">
        <x:v>limit</x:v>
      </x:c>
      <x:c r="I284" s="11" t="n">
        <x:v>1</x:v>
      </x:c>
      <x:c r="J284" s="11" t="n">
        <x:v>1</x:v>
      </x:c>
      <x:c r="K284" s="11" t="str">
        <x:v>resolved</x:v>
      </x:c>
      <x:c r="L284" s="11" t="n">
        <x:v>1</x:v>
      </x:c>
      <x:c r="M284" s="11" t="n">
        <x:v>0</x:v>
      </x:c>
      <x:c r="N284" s="11" t="n">
        <x:v>147</x:v>
      </x:c>
      <x:c r="O284" s="11" t="n">
        <x:v>0</x:v>
      </x:c>
      <x:c r="P284" s="11" t="n">
        <x:v>755260</x:v>
      </x:c>
      <x:c r="Q284" s="11" t="n">
        <x:v>755260</x:v>
      </x:c>
      <x:c r="R284" s="11" t="n">
        <x:v>63</x:v>
      </x:c>
      <x:c r="S284" s="11" t="n">
        <x:v>63</x:v>
      </x:c>
      <x:c r="T284" s="11" t="n">
        <x:v>60</x:v>
      </x:c>
      <x:c r="U284" s="12" t="n">
        <x:v>170.946</x:v>
      </x:c>
      <x:c r="V284" s="9" t="str">
        <x:v>sympy/polys/polytools.py</x:v>
      </x:c>
      <x:c r="W284" s="9" t="str"/>
      <x:c r="X284" s="9" t="str">
        <x:v>task_output-wsl/lite-baseline-001/instances/sympy__sympy-18698/attempt-0001/state.json
task_output-wsl/lite-baseline-001/instances/sympy__sympy-18698/attempt-0001/state.json</x:v>
      </x:c>
      <x:c r="Y284" s="2" t="str">
        <x:v>thinking
tool_use</x:v>
      </x:c>
      <x:c r="Z284" s="11" t="n">
        <x:v>60</x:v>
      </x:c>
      <x:c r="AA284" s="11" t="n">
        <x:v>0</x:v>
      </x:c>
    </x:row>
    <x:row r="285" ht="37" customHeight="1">
      <x:c r="A285" s="2" t="str">
        <x:v>sympy__sympy-18835</x:v>
      </x:c>
      <x:c r="B285" s="2" t="str">
        <x:v>sympy/sympy</x:v>
      </x:c>
      <x:c r="C285" s="2" t="str">
        <x:v>resolved</x:v>
      </x:c>
      <x:c r="D285" s="2" t="str">
        <x:v>已解决</x:v>
      </x:c>
      <x:c r="E285" s="10" t="str">
        <x:v>gold通过，最新attempt未记录API终止、runner启动失败或评测基础设施终止；不代表原始全套测试零失败。</x:v>
      </x:c>
      <x:c r="F285" s="10" t="str"/>
      <x:c r="G285" s="2" t="str">
        <x:v>通过</x:v>
      </x:c>
      <x:c r="H285" s="2" t="str">
        <x:v>completed</x:v>
      </x:c>
      <x:c r="I285" s="11" t="n">
        <x:v>1</x:v>
      </x:c>
      <x:c r="J285" s="11" t="n">
        <x:v>1</x:v>
      </x:c>
      <x:c r="K285" s="11" t="str">
        <x:v>resolved</x:v>
      </x:c>
      <x:c r="L285" s="11" t="n">
        <x:v>1</x:v>
      </x:c>
      <x:c r="M285" s="11" t="n">
        <x:v>0</x:v>
      </x:c>
      <x:c r="N285" s="11" t="n">
        <x:v>41</x:v>
      </x:c>
      <x:c r="O285" s="11" t="n">
        <x:v>0</x:v>
      </x:c>
      <x:c r="P285" s="11" t="n">
        <x:v>155556</x:v>
      </x:c>
      <x:c r="Q285" s="11" t="n">
        <x:v>155556</x:v>
      </x:c>
      <x:c r="R285" s="11" t="n">
        <x:v>15</x:v>
      </x:c>
      <x:c r="S285" s="11" t="n">
        <x:v>15</x:v>
      </x:c>
      <x:c r="T285" s="11" t="n">
        <x:v>15</x:v>
      </x:c>
      <x:c r="U285" s="12" t="n">
        <x:v>100.868</x:v>
      </x:c>
      <x:c r="V285" s="9" t="str">
        <x:v>sympy/utilities/iterables.py</x:v>
      </x:c>
      <x:c r="W285" s="9" t="str"/>
      <x:c r="X285" s="9" t="str">
        <x:v>task_output-wsl/lite-baseline-001/instances/sympy__sympy-18835/attempt-0001/state.json
task_output-wsl/lite-baseline-001/instances/sympy__sympy-18835/attempt-0001/state.json</x:v>
      </x:c>
      <x:c r="Y285" s="2" t="str">
        <x:v>thinking
text</x:v>
      </x:c>
      <x:c r="Z285" s="11" t="n">
        <x:v>156</x:v>
      </x:c>
      <x:c r="AA285" s="11" t="n">
        <x:v>0</x:v>
      </x:c>
    </x:row>
    <x:row r="286" ht="37" customHeight="1">
      <x:c r="A286" s="2" t="str">
        <x:v>sympy__sympy-19007</x:v>
      </x:c>
      <x:c r="B286" s="2" t="str">
        <x:v>sympy/sympy</x:v>
      </x:c>
      <x:c r="C286" s="2" t="str">
        <x:v>resolved</x:v>
      </x:c>
      <x:c r="D286" s="2" t="str">
        <x:v>已解决</x:v>
      </x:c>
      <x:c r="E286" s="10" t="str">
        <x:v>gold通过，最新attempt未记录API终止、runner启动失败或评测基础设施终止；不代表原始全套测试零失败。</x:v>
      </x:c>
      <x:c r="F286" s="10" t="str"/>
      <x:c r="G286" s="2" t="str">
        <x:v>通过</x:v>
      </x:c>
      <x:c r="H286" s="2" t="str">
        <x:v>completed</x:v>
      </x:c>
      <x:c r="I286" s="11" t="n">
        <x:v>1</x:v>
      </x:c>
      <x:c r="J286" s="11" t="n">
        <x:v>1</x:v>
      </x:c>
      <x:c r="K286" s="11" t="str">
        <x:v>resolved</x:v>
      </x:c>
      <x:c r="L286" s="11" t="n">
        <x:v>3</x:v>
      </x:c>
      <x:c r="M286" s="11" t="n">
        <x:v>0</x:v>
      </x:c>
      <x:c r="N286" s="11" t="n">
        <x:v>26</x:v>
      </x:c>
      <x:c r="O286" s="11" t="n">
        <x:v>0</x:v>
      </x:c>
      <x:c r="P286" s="11" t="n">
        <x:v>722390</x:v>
      </x:c>
      <x:c r="Q286" s="11" t="n">
        <x:v>722390</x:v>
      </x:c>
      <x:c r="R286" s="11" t="n">
        <x:v>64</x:v>
      </x:c>
      <x:c r="S286" s="11" t="n">
        <x:v>64</x:v>
      </x:c>
      <x:c r="T286" s="11" t="n">
        <x:v>60</x:v>
      </x:c>
      <x:c r="U286" s="12" t="n">
        <x:v>307.561</x:v>
      </x:c>
      <x:c r="V286" s="9" t="str">
        <x:v>sympy/matrices/expressions/blockmatrix.py</x:v>
      </x:c>
      <x:c r="W286" s="9" t="str"/>
      <x:c r="X286" s="9" t="str">
        <x:v>task_output-wsl/lite-baseline-001/instances/sympy__sympy-19007/attempt-0001/state.json
task_output-wsl/lite-baseline-001/instances/sympy__sympy-19007/attempt-0001/state.json</x:v>
      </x:c>
      <x:c r="Y286" s="2" t="str">
        <x:v>thinking</x:v>
      </x:c>
      <x:c r="Z286" s="11" t="n">
        <x:v>4096</x:v>
      </x:c>
      <x:c r="AA286" s="11" t="n">
        <x:v>1</x:v>
      </x:c>
    </x:row>
    <x:row r="287" ht="37" customHeight="1">
      <x:c r="A287" s="2" t="str">
        <x:v>sympy__sympy-19254</x:v>
      </x:c>
      <x:c r="B287" s="2" t="str">
        <x:v>sympy/sympy</x:v>
      </x:c>
      <x:c r="C287" s="2" t="str">
        <x:v>resolved</x:v>
      </x:c>
      <x:c r="D287" s="2" t="str">
        <x:v>已解决</x:v>
      </x:c>
      <x:c r="E287" s="10" t="str">
        <x:v>gold通过，最新attempt未记录API终止、runner启动失败或评测基础设施终止；不代表原始全套测试零失败。</x:v>
      </x:c>
      <x:c r="F287" s="10" t="str"/>
      <x:c r="G287" s="2" t="str">
        <x:v>通过</x:v>
      </x:c>
      <x:c r="H287" s="2" t="str">
        <x:v>completed</x:v>
      </x:c>
      <x:c r="I287" s="11" t="n">
        <x:v>1</x:v>
      </x:c>
      <x:c r="J287" s="11" t="n">
        <x:v>1</x:v>
      </x:c>
      <x:c r="K287" s="11" t="str">
        <x:v>resolved</x:v>
      </x:c>
      <x:c r="L287" s="11" t="n">
        <x:v>1</x:v>
      </x:c>
      <x:c r="M287" s="11" t="n">
        <x:v>0</x:v>
      </x:c>
      <x:c r="N287" s="11" t="n">
        <x:v>18</x:v>
      </x:c>
      <x:c r="O287" s="11" t="n">
        <x:v>0</x:v>
      </x:c>
      <x:c r="P287" s="11" t="n">
        <x:v>279986</x:v>
      </x:c>
      <x:c r="Q287" s="11" t="n">
        <x:v>279986</x:v>
      </x:c>
      <x:c r="R287" s="11" t="n">
        <x:v>24</x:v>
      </x:c>
      <x:c r="S287" s="11" t="n">
        <x:v>24</x:v>
      </x:c>
      <x:c r="T287" s="11" t="n">
        <x:v>24</x:v>
      </x:c>
      <x:c r="U287" s="12" t="n">
        <x:v>77.517</x:v>
      </x:c>
      <x:c r="V287" s="9" t="str">
        <x:v>sympy/polys/factortools.py</x:v>
      </x:c>
      <x:c r="W287" s="9" t="str"/>
      <x:c r="X287" s="9" t="str">
        <x:v>task_output-wsl/lite-baseline-001/instances/sympy__sympy-19254/attempt-0001/state.json
task_output-wsl/lite-baseline-001/instances/sympy__sympy-19254/attempt-0001/state.json</x:v>
      </x:c>
      <x:c r="Y287" s="2" t="str">
        <x:v>thinking
text</x:v>
      </x:c>
      <x:c r="Z287" s="11" t="n">
        <x:v>573</x:v>
      </x:c>
      <x:c r="AA287" s="11" t="n">
        <x:v>0</x:v>
      </x:c>
    </x:row>
    <x:row r="288" ht="37" customHeight="1">
      <x:c r="A288" s="2" t="str">
        <x:v>sympy__sympy-19487</x:v>
      </x:c>
      <x:c r="B288" s="2" t="str">
        <x:v>sympy/sympy</x:v>
      </x:c>
      <x:c r="C288" s="2" t="str">
        <x:v>resolved</x:v>
      </x:c>
      <x:c r="D288" s="2" t="str">
        <x:v>已解决</x:v>
      </x:c>
      <x:c r="E288" s="10" t="str">
        <x:v>gold通过，最新attempt未记录API终止、runner启动失败或评测基础设施终止；不代表原始全套测试零失败。</x:v>
      </x:c>
      <x:c r="F288" s="10" t="str"/>
      <x:c r="G288" s="2" t="str">
        <x:v>通过</x:v>
      </x:c>
      <x:c r="H288" s="2" t="str">
        <x:v>completed</x:v>
      </x:c>
      <x:c r="I288" s="11" t="n">
        <x:v>1</x:v>
      </x:c>
      <x:c r="J288" s="11" t="n">
        <x:v>1</x:v>
      </x:c>
      <x:c r="K288" s="11" t="str">
        <x:v>resolved</x:v>
      </x:c>
      <x:c r="L288" s="11" t="n">
        <x:v>1</x:v>
      </x:c>
      <x:c r="M288" s="11" t="n">
        <x:v>0</x:v>
      </x:c>
      <x:c r="N288" s="11" t="n">
        <x:v>90</x:v>
      </x:c>
      <x:c r="O288" s="11" t="n">
        <x:v>0</x:v>
      </x:c>
      <x:c r="P288" s="11" t="n">
        <x:v>134145</x:v>
      </x:c>
      <x:c r="Q288" s="11" t="n">
        <x:v>134145</x:v>
      </x:c>
      <x:c r="R288" s="11" t="n">
        <x:v>15</x:v>
      </x:c>
      <x:c r="S288" s="11" t="n">
        <x:v>15</x:v>
      </x:c>
      <x:c r="T288" s="11" t="n">
        <x:v>15</x:v>
      </x:c>
      <x:c r="U288" s="12" t="n">
        <x:v>53.928</x:v>
      </x:c>
      <x:c r="V288" s="9" t="str">
        <x:v>sympy/functions/elementary/complexes.py</x:v>
      </x:c>
      <x:c r="W288" s="9" t="str"/>
      <x:c r="X288" s="9" t="str">
        <x:v>task_output-wsl/lite-baseline-001/instances/sympy__sympy-19487/attempt-0001/state.json
task_output-wsl/lite-baseline-001/instances/sympy__sympy-19487/attempt-0001/state.json</x:v>
      </x:c>
      <x:c r="Y288" s="2" t="str">
        <x:v>thinking
text</x:v>
      </x:c>
      <x:c r="Z288" s="11" t="n">
        <x:v>390</x:v>
      </x:c>
      <x:c r="AA288" s="11" t="n">
        <x:v>0</x:v>
      </x:c>
    </x:row>
    <x:row r="289" ht="37" customHeight="1">
      <x:c r="A289" s="2" t="str">
        <x:v>sympy__sympy-20049</x:v>
      </x:c>
      <x:c r="B289" s="2" t="str">
        <x:v>sympy/sympy</x:v>
      </x:c>
      <x:c r="C289" s="2" t="str">
        <x:v>resolved</x:v>
      </x:c>
      <x:c r="D289" s="2" t="str">
        <x:v>已解决</x:v>
      </x:c>
      <x:c r="E289" s="10" t="str">
        <x:v>gold通过，最新attempt未记录API终止、runner启动失败或评测基础设施终止；不代表原始全套测试零失败。</x:v>
      </x:c>
      <x:c r="F289" s="10" t="str"/>
      <x:c r="G289" s="2" t="str">
        <x:v>通过</x:v>
      </x:c>
      <x:c r="H289" s="2" t="str">
        <x:v>completed</x:v>
      </x:c>
      <x:c r="I289" s="11" t="n">
        <x:v>1</x:v>
      </x:c>
      <x:c r="J289" s="11" t="n">
        <x:v>1</x:v>
      </x:c>
      <x:c r="K289" s="11" t="str">
        <x:v>resolved</x:v>
      </x:c>
      <x:c r="L289" s="11" t="n">
        <x:v>4</x:v>
      </x:c>
      <x:c r="M289" s="11" t="n">
        <x:v>0</x:v>
      </x:c>
      <x:c r="N289" s="11" t="n">
        <x:v>9</x:v>
      </x:c>
      <x:c r="O289" s="11" t="n">
        <x:v>0</x:v>
      </x:c>
      <x:c r="P289" s="11" t="n">
        <x:v>573212</x:v>
      </x:c>
      <x:c r="Q289" s="11" t="n">
        <x:v>573212</x:v>
      </x:c>
      <x:c r="R289" s="11" t="n">
        <x:v>51</x:v>
      </x:c>
      <x:c r="S289" s="11" t="n">
        <x:v>51</x:v>
      </x:c>
      <x:c r="T289" s="11" t="n">
        <x:v>49</x:v>
      </x:c>
      <x:c r="U289" s="12" t="n">
        <x:v>178.583</x:v>
      </x:c>
      <x:c r="V289" s="9" t="str">
        <x:v>sympy/physics/vector/point.py</x:v>
      </x:c>
      <x:c r="W289" s="9" t="str"/>
      <x:c r="X289" s="9" t="str">
        <x:v>task_output-wsl/lite-baseline-001/instances/sympy__sympy-20049/attempt-0001/state.json
task_output-wsl/lite-baseline-001/instances/sympy__sympy-20049/attempt-0001/state.json</x:v>
      </x:c>
      <x:c r="Y289" s="2" t="str">
        <x:v>thinking
text</x:v>
      </x:c>
      <x:c r="Z289" s="11" t="n">
        <x:v>192</x:v>
      </x:c>
      <x:c r="AA289" s="11" t="n">
        <x:v>0</x:v>
      </x:c>
    </x:row>
    <x:row r="290" ht="37" customHeight="1">
      <x:c r="A290" s="2" t="str">
        <x:v>sympy__sympy-20154</x:v>
      </x:c>
      <x:c r="B290" s="2" t="str">
        <x:v>sympy/sympy</x:v>
      </x:c>
      <x:c r="C290" s="2" t="str">
        <x:v>resolved</x:v>
      </x:c>
      <x:c r="D290" s="2" t="str">
        <x:v>已解决</x:v>
      </x:c>
      <x:c r="E290" s="10" t="str">
        <x:v>gold通过，最新attempt未记录API终止、runner启动失败或评测基础设施终止；不代表原始全套测试零失败。</x:v>
      </x:c>
      <x:c r="F290" s="10" t="str"/>
      <x:c r="G290" s="2" t="str">
        <x:v>通过</x:v>
      </x:c>
      <x:c r="H290" s="2" t="str">
        <x:v>completed</x:v>
      </x:c>
      <x:c r="I290" s="11" t="n">
        <x:v>1</x:v>
      </x:c>
      <x:c r="J290" s="11" t="n">
        <x:v>1</x:v>
      </x:c>
      <x:c r="K290" s="11" t="str">
        <x:v>resolved</x:v>
      </x:c>
      <x:c r="L290" s="11" t="n">
        <x:v>2</x:v>
      </x:c>
      <x:c r="M290" s="11" t="n">
        <x:v>0</x:v>
      </x:c>
      <x:c r="N290" s="11" t="n">
        <x:v>40</x:v>
      </x:c>
      <x:c r="O290" s="11" t="n">
        <x:v>0</x:v>
      </x:c>
      <x:c r="P290" s="11" t="n">
        <x:v>114473</x:v>
      </x:c>
      <x:c r="Q290" s="11" t="n">
        <x:v>114473</x:v>
      </x:c>
      <x:c r="R290" s="11" t="n">
        <x:v>11</x:v>
      </x:c>
      <x:c r="S290" s="11" t="n">
        <x:v>11</x:v>
      </x:c>
      <x:c r="T290" s="11" t="n">
        <x:v>11</x:v>
      </x:c>
      <x:c r="U290" s="12" t="n">
        <x:v>25.048</x:v>
      </x:c>
      <x:c r="V290" s="9" t="str">
        <x:v>doc/src/modules/utilities/iterables.rst
sympy/utilities/iterables.py</x:v>
      </x:c>
      <x:c r="W290" s="9" t="str"/>
      <x:c r="X290" s="9" t="str">
        <x:v>task_output-wsl/lite-baseline-001/instances/sympy__sympy-20154/attempt-0001/state.json
task_output-wsl/lite-baseline-001/instances/sympy__sympy-20154/attempt-0001/state.json</x:v>
      </x:c>
      <x:c r="Y290" s="2" t="str">
        <x:v>thinking
text</x:v>
      </x:c>
      <x:c r="Z290" s="11" t="n">
        <x:v>651</x:v>
      </x:c>
      <x:c r="AA290" s="11" t="n">
        <x:v>0</x:v>
      </x:c>
    </x:row>
    <x:row r="291" ht="37" customHeight="1">
      <x:c r="A291" s="2" t="str">
        <x:v>sympy__sympy-20212</x:v>
      </x:c>
      <x:c r="B291" s="2" t="str">
        <x:v>sympy/sympy</x:v>
      </x:c>
      <x:c r="C291" s="2" t="str">
        <x:v>resolved</x:v>
      </x:c>
      <x:c r="D291" s="2" t="str">
        <x:v>已解决</x:v>
      </x:c>
      <x:c r="E291" s="10" t="str">
        <x:v>gold通过，最新attempt未记录API终止、runner启动失败或评测基础设施终止；不代表原始全套测试零失败。</x:v>
      </x:c>
      <x:c r="F291" s="10" t="str"/>
      <x:c r="G291" s="2" t="str">
        <x:v>通过</x:v>
      </x:c>
      <x:c r="H291" s="2" t="str">
        <x:v>completed</x:v>
      </x:c>
      <x:c r="I291" s="11" t="n">
        <x:v>1</x:v>
      </x:c>
      <x:c r="J291" s="11" t="n">
        <x:v>1</x:v>
      </x:c>
      <x:c r="K291" s="11" t="str">
        <x:v>resolved</x:v>
      </x:c>
      <x:c r="L291" s="11" t="n">
        <x:v>1</x:v>
      </x:c>
      <x:c r="M291" s="11" t="n">
        <x:v>0</x:v>
      </x:c>
      <x:c r="N291" s="11" t="n">
        <x:v>32</x:v>
      </x:c>
      <x:c r="O291" s="11" t="n">
        <x:v>0</x:v>
      </x:c>
      <x:c r="P291" s="11" t="n">
        <x:v>265425</x:v>
      </x:c>
      <x:c r="Q291" s="11" t="n">
        <x:v>265425</x:v>
      </x:c>
      <x:c r="R291" s="11" t="n">
        <x:v>25</x:v>
      </x:c>
      <x:c r="S291" s="11" t="n">
        <x:v>25</x:v>
      </x:c>
      <x:c r="T291" s="11" t="n">
        <x:v>25</x:v>
      </x:c>
      <x:c r="U291" s="12" t="n">
        <x:v>86.8</x:v>
      </x:c>
      <x:c r="V291" s="9" t="str">
        <x:v>sympy/core/numbers.py</x:v>
      </x:c>
      <x:c r="W291" s="9" t="str"/>
      <x:c r="X291" s="9" t="str">
        <x:v>task_output-wsl/lite-baseline-001/instances/sympy__sympy-20212/attempt-0001/state.json
task_output-wsl/lite-baseline-001/instances/sympy__sympy-20212/attempt-0001/state.json</x:v>
      </x:c>
      <x:c r="Y291" s="2" t="str">
        <x:v>thinking
text</x:v>
      </x:c>
      <x:c r="Z291" s="11" t="n">
        <x:v>292</x:v>
      </x:c>
      <x:c r="AA291" s="11" t="n">
        <x:v>0</x:v>
      </x:c>
    </x:row>
    <x:row r="292" ht="37" customHeight="1">
      <x:c r="A292" s="2" t="str">
        <x:v>sympy__sympy-20322</x:v>
      </x:c>
      <x:c r="B292" s="2" t="str">
        <x:v>sympy/sympy</x:v>
      </x:c>
      <x:c r="C292" s="2" t="str">
        <x:v>resolved</x:v>
      </x:c>
      <x:c r="D292" s="2" t="str">
        <x:v>已解决</x:v>
      </x:c>
      <x:c r="E292" s="10" t="str">
        <x:v>gold通过，最新attempt未记录API终止、runner启动失败或评测基础设施终止；不代表原始全套测试零失败。</x:v>
      </x:c>
      <x:c r="F292" s="10" t="str"/>
      <x:c r="G292" s="2" t="str">
        <x:v>通过</x:v>
      </x:c>
      <x:c r="H292" s="2" t="str">
        <x:v>limit</x:v>
      </x:c>
      <x:c r="I292" s="11" t="n">
        <x:v>1</x:v>
      </x:c>
      <x:c r="J292" s="11" t="n">
        <x:v>1</x:v>
      </x:c>
      <x:c r="K292" s="11" t="str">
        <x:v>resolved</x:v>
      </x:c>
      <x:c r="L292" s="11" t="n">
        <x:v>1</x:v>
      </x:c>
      <x:c r="M292" s="11" t="n">
        <x:v>0</x:v>
      </x:c>
      <x:c r="N292" s="11" t="n">
        <x:v>89</x:v>
      </x:c>
      <x:c r="O292" s="11" t="n">
        <x:v>0</x:v>
      </x:c>
      <x:c r="P292" s="11" t="n">
        <x:v>669198</x:v>
      </x:c>
      <x:c r="Q292" s="11" t="n">
        <x:v>669198</x:v>
      </x:c>
      <x:c r="R292" s="11" t="n">
        <x:v>61</x:v>
      </x:c>
      <x:c r="S292" s="11" t="n">
        <x:v>61</x:v>
      </x:c>
      <x:c r="T292" s="11" t="n">
        <x:v>60</x:v>
      </x:c>
      <x:c r="U292" s="12" t="n">
        <x:v>161.068</x:v>
      </x:c>
      <x:c r="V292" s="9" t="str">
        <x:v>sympy/core/mul.py</x:v>
      </x:c>
      <x:c r="W292" s="9" t="str"/>
      <x:c r="X292" s="9" t="str">
        <x:v>task_output-wsl/lite-baseline-001/instances/sympy__sympy-20322/attempt-0001/state.json
task_output-wsl/lite-baseline-001/instances/sympy__sympy-20322/attempt-0001/state.json</x:v>
      </x:c>
      <x:c r="Y292" s="2" t="str">
        <x:v>thinking
tool_use</x:v>
      </x:c>
      <x:c r="Z292" s="11" t="n">
        <x:v>167</x:v>
      </x:c>
      <x:c r="AA292" s="11" t="n">
        <x:v>0</x:v>
      </x:c>
    </x:row>
    <x:row r="293" ht="37" customHeight="1">
      <x:c r="A293" s="2" t="str">
        <x:v>sympy__sympy-20442</x:v>
      </x:c>
      <x:c r="B293" s="2" t="str">
        <x:v>sympy/sympy</x:v>
      </x:c>
      <x:c r="C293" s="2" t="str">
        <x:v>resolved</x:v>
      </x:c>
      <x:c r="D293" s="2" t="str">
        <x:v>已解决</x:v>
      </x:c>
      <x:c r="E293" s="10" t="str">
        <x:v>gold通过，最新attempt未记录API终止、runner启动失败或评测基础设施终止；不代表原始全套测试零失败。</x:v>
      </x:c>
      <x:c r="F293" s="10" t="str"/>
      <x:c r="G293" s="2" t="str">
        <x:v>通过</x:v>
      </x:c>
      <x:c r="H293" s="2" t="str">
        <x:v>completed</x:v>
      </x:c>
      <x:c r="I293" s="11" t="n">
        <x:v>1</x:v>
      </x:c>
      <x:c r="J293" s="11" t="n">
        <x:v>1</x:v>
      </x:c>
      <x:c r="K293" s="11" t="str">
        <x:v>resolved</x:v>
      </x:c>
      <x:c r="L293" s="11" t="n">
        <x:v>1</x:v>
      </x:c>
      <x:c r="M293" s="11" t="n">
        <x:v>0</x:v>
      </x:c>
      <x:c r="N293" s="11" t="n">
        <x:v>24</x:v>
      </x:c>
      <x:c r="O293" s="11" t="n">
        <x:v>0</x:v>
      </x:c>
      <x:c r="P293" s="11" t="n">
        <x:v>511042</x:v>
      </x:c>
      <x:c r="Q293" s="11" t="n">
        <x:v>511042</x:v>
      </x:c>
      <x:c r="R293" s="11" t="n">
        <x:v>43</x:v>
      </x:c>
      <x:c r="S293" s="11" t="n">
        <x:v>43</x:v>
      </x:c>
      <x:c r="T293" s="11" t="n">
        <x:v>41</x:v>
      </x:c>
      <x:c r="U293" s="12" t="n">
        <x:v>142.007</x:v>
      </x:c>
      <x:c r="V293" s="9" t="str">
        <x:v>sympy/physics/units/util.py</x:v>
      </x:c>
      <x:c r="W293" s="9" t="str"/>
      <x:c r="X293" s="9" t="str">
        <x:v>task_output-wsl/lite-baseline-001/instances/sympy__sympy-20442/attempt-0001/state.json
task_output-wsl/lite-baseline-001/instances/sympy__sympy-20442/attempt-0001/state.json</x:v>
      </x:c>
      <x:c r="Y293" s="2" t="str">
        <x:v>thinking
text</x:v>
      </x:c>
      <x:c r="Z293" s="11" t="n">
        <x:v>169</x:v>
      </x:c>
      <x:c r="AA293" s="11" t="n">
        <x:v>0</x:v>
      </x:c>
    </x:row>
    <x:row r="294" ht="37" customHeight="1">
      <x:c r="A294" s="2" t="str">
        <x:v>sympy__sympy-20590</x:v>
      </x:c>
      <x:c r="B294" s="2" t="str">
        <x:v>sympy/sympy</x:v>
      </x:c>
      <x:c r="C294" s="2" t="str">
        <x:v>resolved</x:v>
      </x:c>
      <x:c r="D294" s="2" t="str">
        <x:v>已解决</x:v>
      </x:c>
      <x:c r="E294" s="10" t="str">
        <x:v>agent达到1200秒墙钟超时，但runner回收的部分补丁最终通过官方目标测试；超时本身未造成最终不通过。</x:v>
      </x:c>
      <x:c r="F294" s="10" t="str"/>
      <x:c r="G294" s="2" t="str">
        <x:v>通过</x:v>
      </x:c>
      <x:c r="H294" s="2" t="str">
        <x:v>timeout</x:v>
      </x:c>
      <x:c r="I294" s="11" t="n">
        <x:v>1</x:v>
      </x:c>
      <x:c r="J294" s="11" t="n">
        <x:v>1</x:v>
      </x:c>
      <x:c r="K294" s="11" t="str">
        <x:v>resolved</x:v>
      </x:c>
      <x:c r="L294" s="11" t="n">
        <x:v>1</x:v>
      </x:c>
      <x:c r="M294" s="11" t="n">
        <x:v>0</x:v>
      </x:c>
      <x:c r="N294" s="11" t="n">
        <x:v>21</x:v>
      </x:c>
      <x:c r="O294" s="11" t="n">
        <x:v>0</x:v>
      </x:c>
      <x:c r="P294" s="11" t="n">
        <x:v>449053</x:v>
      </x:c>
      <x:c r="Q294" s="11" t="n">
        <x:v>449053</x:v>
      </x:c>
      <x:c r="R294" s="11" t="n">
        <x:v>43</x:v>
      </x:c>
      <x:c r="S294" s="11" t="n">
        <x:v>43</x:v>
      </x:c>
      <x:c r="T294" s="11" t="n">
        <x:v>43</x:v>
      </x:c>
      <x:c r="U294" s="12" t="n">
        <x:v>1200.417</x:v>
      </x:c>
      <x:c r="V294" s="9" t="str">
        <x:v>sympy/core/_print_helpers.py</x:v>
      </x:c>
      <x:c r="W294" s="9" t="str"/>
      <x:c r="X294" s="9" t="str">
        <x:v>task_output-wsl/lite-baseline-001/instances/sympy__sympy-20590/attempt-0001/state.json
task_output-wsl/lite-baseline-001/instances/sympy__sympy-20590/attempt-0001/state.json</x:v>
      </x:c>
      <x:c r="Y294" s="2" t="str">
        <x:v>thinking
tool_use</x:v>
      </x:c>
      <x:c r="Z294" s="11" t="n">
        <x:v>67</x:v>
      </x:c>
      <x:c r="AA294" s="11" t="n">
        <x:v>0</x:v>
      </x:c>
    </x:row>
    <x:row r="295" ht="37" customHeight="1">
      <x:c r="A295" s="2" t="str">
        <x:v>sympy__sympy-21055</x:v>
      </x:c>
      <x:c r="B295" s="2" t="str">
        <x:v>sympy/sympy</x:v>
      </x:c>
      <x:c r="C295" s="2" t="str">
        <x:v>resolved</x:v>
      </x:c>
      <x:c r="D295" s="2" t="str">
        <x:v>已解决</x:v>
      </x:c>
      <x:c r="E295" s="10" t="str">
        <x:v>gold通过，最新attempt未记录API终止、runner启动失败或评测基础设施终止；不代表原始全套测试零失败。</x:v>
      </x:c>
      <x:c r="F295" s="10" t="str"/>
      <x:c r="G295" s="2" t="str">
        <x:v>通过</x:v>
      </x:c>
      <x:c r="H295" s="2" t="str">
        <x:v>completed</x:v>
      </x:c>
      <x:c r="I295" s="11" t="n">
        <x:v>1</x:v>
      </x:c>
      <x:c r="J295" s="11" t="n">
        <x:v>1</x:v>
      </x:c>
      <x:c r="K295" s="11" t="str">
        <x:v>resolved</x:v>
      </x:c>
      <x:c r="L295" s="11" t="n">
        <x:v>1</x:v>
      </x:c>
      <x:c r="M295" s="11" t="n">
        <x:v>0</x:v>
      </x:c>
      <x:c r="N295" s="11" t="n">
        <x:v>13</x:v>
      </x:c>
      <x:c r="O295" s="11" t="n">
        <x:v>0</x:v>
      </x:c>
      <x:c r="P295" s="11" t="n">
        <x:v>195661</x:v>
      </x:c>
      <x:c r="Q295" s="11" t="n">
        <x:v>195661</x:v>
      </x:c>
      <x:c r="R295" s="11" t="n">
        <x:v>17</x:v>
      </x:c>
      <x:c r="S295" s="11" t="n">
        <x:v>17</x:v>
      </x:c>
      <x:c r="T295" s="11" t="n">
        <x:v>17</x:v>
      </x:c>
      <x:c r="U295" s="12" t="n">
        <x:v>61.357</x:v>
      </x:c>
      <x:c r="V295" s="9" t="str">
        <x:v>sympy/assumptions/refine.py</x:v>
      </x:c>
      <x:c r="W295" s="9" t="str"/>
      <x:c r="X295" s="9" t="str">
        <x:v>task_output-wsl/lite-baseline-001/instances/sympy__sympy-21055/attempt-0001/state.json
task_output-wsl/lite-baseline-001/instances/sympy__sympy-21055/attempt-0001/state.json</x:v>
      </x:c>
      <x:c r="Y295" s="2" t="str">
        <x:v>thinking
text</x:v>
      </x:c>
      <x:c r="Z295" s="11" t="n">
        <x:v>265</x:v>
      </x:c>
      <x:c r="AA295" s="11" t="n">
        <x:v>0</x:v>
      </x:c>
    </x:row>
    <x:row r="296" ht="37" customHeight="1">
      <x:c r="A296" s="2" t="str">
        <x:v>sympy__sympy-21379</x:v>
      </x:c>
      <x:c r="B296" s="2" t="str">
        <x:v>sympy/sympy</x:v>
      </x:c>
      <x:c r="C296" s="2" t="str">
        <x:v>resolved</x:v>
      </x:c>
      <x:c r="D296" s="2" t="str">
        <x:v>已解决</x:v>
      </x:c>
      <x:c r="E296" s="10" t="str">
        <x:v>gold通过，最新attempt未记录API终止、runner启动失败或评测基础设施终止；不代表原始全套测试零失败。</x:v>
      </x:c>
      <x:c r="F296" s="10" t="str"/>
      <x:c r="G296" s="2" t="str">
        <x:v>通过</x:v>
      </x:c>
      <x:c r="H296" s="2" t="str">
        <x:v>completed</x:v>
      </x:c>
      <x:c r="I296" s="11" t="n">
        <x:v>1</x:v>
      </x:c>
      <x:c r="J296" s="11" t="n">
        <x:v>1</x:v>
      </x:c>
      <x:c r="K296" s="11" t="str">
        <x:v>resolved</x:v>
      </x:c>
      <x:c r="L296" s="11" t="n">
        <x:v>1</x:v>
      </x:c>
      <x:c r="M296" s="11" t="n">
        <x:v>0</x:v>
      </x:c>
      <x:c r="N296" s="11" t="n">
        <x:v>91</x:v>
      </x:c>
      <x:c r="O296" s="11" t="n">
        <x:v>0</x:v>
      </x:c>
      <x:c r="P296" s="11" t="n">
        <x:v>528018</x:v>
      </x:c>
      <x:c r="Q296" s="11" t="n">
        <x:v>528018</x:v>
      </x:c>
      <x:c r="R296" s="11" t="n">
        <x:v>47</x:v>
      </x:c>
      <x:c r="S296" s="11" t="n">
        <x:v>47</x:v>
      </x:c>
      <x:c r="T296" s="11" t="n">
        <x:v>46</x:v>
      </x:c>
      <x:c r="U296" s="12" t="n">
        <x:v>140.569</x:v>
      </x:c>
      <x:c r="V296" s="9" t="str">
        <x:v>sympy/core/mod.py</x:v>
      </x:c>
      <x:c r="W296" s="9" t="str"/>
      <x:c r="X296" s="9" t="str">
        <x:v>task_output-wsl/lite-baseline-001/instances/sympy__sympy-21379/attempt-0001/state.json
task_output-wsl/lite-baseline-001/instances/sympy__sympy-21379/attempt-0001/state.json</x:v>
      </x:c>
      <x:c r="Y296" s="2" t="str">
        <x:v>thinking
text</x:v>
      </x:c>
      <x:c r="Z296" s="11" t="n">
        <x:v>303</x:v>
      </x:c>
      <x:c r="AA296" s="11" t="n">
        <x:v>0</x:v>
      </x:c>
    </x:row>
    <x:row r="297" ht="37" customHeight="1">
      <x:c r="A297" s="2" t="str">
        <x:v>sympy__sympy-21614</x:v>
      </x:c>
      <x:c r="B297" s="2" t="str">
        <x:v>sympy/sympy</x:v>
      </x:c>
      <x:c r="C297" s="2" t="str">
        <x:v>resolved</x:v>
      </x:c>
      <x:c r="D297" s="2" t="str">
        <x:v>已解决</x:v>
      </x:c>
      <x:c r="E297" s="10" t="str">
        <x:v>gold通过，最新attempt未记录API终止、runner启动失败或评测基础设施终止；不代表原始全套测试零失败。</x:v>
      </x:c>
      <x:c r="F297" s="10" t="str"/>
      <x:c r="G297" s="2" t="str">
        <x:v>通过</x:v>
      </x:c>
      <x:c r="H297" s="2" t="str">
        <x:v>completed</x:v>
      </x:c>
      <x:c r="I297" s="11" t="n">
        <x:v>1</x:v>
      </x:c>
      <x:c r="J297" s="11" t="n">
        <x:v>1</x:v>
      </x:c>
      <x:c r="K297" s="11" t="str">
        <x:v>resolved</x:v>
      </x:c>
      <x:c r="L297" s="11" t="n">
        <x:v>1</x:v>
      </x:c>
      <x:c r="M297" s="11" t="n">
        <x:v>0</x:v>
      </x:c>
      <x:c r="N297" s="11" t="n">
        <x:v>6</x:v>
      </x:c>
      <x:c r="O297" s="11" t="n">
        <x:v>0</x:v>
      </x:c>
      <x:c r="P297" s="11" t="n">
        <x:v>564655</x:v>
      </x:c>
      <x:c r="Q297" s="11" t="n">
        <x:v>564655</x:v>
      </x:c>
      <x:c r="R297" s="11" t="n">
        <x:v>53</x:v>
      </x:c>
      <x:c r="S297" s="11" t="n">
        <x:v>53</x:v>
      </x:c>
      <x:c r="T297" s="11" t="n">
        <x:v>52</x:v>
      </x:c>
      <x:c r="U297" s="12" t="n">
        <x:v>158.427</x:v>
      </x:c>
      <x:c r="V297" s="9" t="str">
        <x:v>sympy/core/function.py
sympy/core/power.py</x:v>
      </x:c>
      <x:c r="W297" s="9" t="str"/>
      <x:c r="X297" s="9" t="str">
        <x:v>task_output-wsl/lite-baseline-001/instances/sympy__sympy-21614/attempt-0001/state.json
task_output-wsl/lite-baseline-001/instances/sympy__sympy-21614/attempt-0001/state.json</x:v>
      </x:c>
      <x:c r="Y297" s="2" t="str">
        <x:v>thinking
text</x:v>
      </x:c>
      <x:c r="Z297" s="11" t="n">
        <x:v>355</x:v>
      </x:c>
      <x:c r="AA297" s="11" t="n">
        <x:v>0</x:v>
      </x:c>
    </x:row>
    <x:row r="298" ht="37" customHeight="1">
      <x:c r="A298" s="2" t="str">
        <x:v>sympy__sympy-21627</x:v>
      </x:c>
      <x:c r="B298" s="2" t="str">
        <x:v>sympy/sympy</x:v>
      </x:c>
      <x:c r="C298" s="2" t="str">
        <x:v>resolved</x:v>
      </x:c>
      <x:c r="D298" s="2" t="str">
        <x:v>已解决</x:v>
      </x:c>
      <x:c r="E298" s="10" t="str">
        <x:v>gold通过，最新attempt未记录API终止、runner启动失败或评测基础设施终止；不代表原始全套测试零失败。</x:v>
      </x:c>
      <x:c r="F298" s="10" t="str"/>
      <x:c r="G298" s="2" t="str">
        <x:v>通过</x:v>
      </x:c>
      <x:c r="H298" s="2" t="str">
        <x:v>completed</x:v>
      </x:c>
      <x:c r="I298" s="11" t="n">
        <x:v>1</x:v>
      </x:c>
      <x:c r="J298" s="11" t="n">
        <x:v>1</x:v>
      </x:c>
      <x:c r="K298" s="11" t="str">
        <x:v>resolved</x:v>
      </x:c>
      <x:c r="L298" s="11" t="n">
        <x:v>1</x:v>
      </x:c>
      <x:c r="M298" s="11" t="n">
        <x:v>0</x:v>
      </x:c>
      <x:c r="N298" s="11" t="n">
        <x:v>26</x:v>
      </x:c>
      <x:c r="O298" s="11" t="n">
        <x:v>0</x:v>
      </x:c>
      <x:c r="P298" s="11" t="n">
        <x:v>404287</x:v>
      </x:c>
      <x:c r="Q298" s="11" t="n">
        <x:v>404287</x:v>
      </x:c>
      <x:c r="R298" s="11" t="n">
        <x:v>40</x:v>
      </x:c>
      <x:c r="S298" s="11" t="n">
        <x:v>40</x:v>
      </x:c>
      <x:c r="T298" s="11" t="n">
        <x:v>39</x:v>
      </x:c>
      <x:c r="U298" s="12" t="n">
        <x:v>148.817</x:v>
      </x:c>
      <x:c r="V298" s="9" t="str">
        <x:v>sympy/functions/elementary/complexes.py
sympy/functions/elementary/tests/test_complexes.py</x:v>
      </x:c>
      <x:c r="W298" s="9" t="str"/>
      <x:c r="X298" s="9" t="str">
        <x:v>task_output-wsl/lite-baseline-001/instances/sympy__sympy-21627/attempt-0001/state.json
task_output-wsl/lite-baseline-001/instances/sympy__sympy-21627/attempt-0001/state.json</x:v>
      </x:c>
      <x:c r="Y298" s="2" t="str">
        <x:v>thinking
text</x:v>
      </x:c>
      <x:c r="Z298" s="11" t="n">
        <x:v>350</x:v>
      </x:c>
      <x:c r="AA298" s="11" t="n">
        <x:v>0</x:v>
      </x:c>
    </x:row>
    <x:row r="299" ht="37" customHeight="1">
      <x:c r="A299" s="2" t="str">
        <x:v>sympy__sympy-21847</x:v>
      </x:c>
      <x:c r="B299" s="2" t="str">
        <x:v>sympy/sympy</x:v>
      </x:c>
      <x:c r="C299" s="2" t="str">
        <x:v>resolved</x:v>
      </x:c>
      <x:c r="D299" s="2" t="str">
        <x:v>已解决</x:v>
      </x:c>
      <x:c r="E299" s="10" t="str">
        <x:v>gold通过，最新attempt未记录API终止、runner启动失败或评测基础设施终止；不代表原始全套测试零失败。</x:v>
      </x:c>
      <x:c r="F299" s="10" t="str"/>
      <x:c r="G299" s="2" t="str">
        <x:v>通过</x:v>
      </x:c>
      <x:c r="H299" s="2" t="str">
        <x:v>completed</x:v>
      </x:c>
      <x:c r="I299" s="11" t="n">
        <x:v>1</x:v>
      </x:c>
      <x:c r="J299" s="11" t="n">
        <x:v>1</x:v>
      </x:c>
      <x:c r="K299" s="11" t="str">
        <x:v>resolved</x:v>
      </x:c>
      <x:c r="L299" s="11" t="n">
        <x:v>1</x:v>
      </x:c>
      <x:c r="M299" s="11" t="n">
        <x:v>0</x:v>
      </x:c>
      <x:c r="N299" s="11" t="n">
        <x:v>9</x:v>
      </x:c>
      <x:c r="O299" s="11" t="n">
        <x:v>0</x:v>
      </x:c>
      <x:c r="P299" s="11" t="n">
        <x:v>173806</x:v>
      </x:c>
      <x:c r="Q299" s="11" t="n">
        <x:v>173806</x:v>
      </x:c>
      <x:c r="R299" s="11" t="n">
        <x:v>15</x:v>
      </x:c>
      <x:c r="S299" s="11" t="n">
        <x:v>15</x:v>
      </x:c>
      <x:c r="T299" s="11" t="n">
        <x:v>15</x:v>
      </x:c>
      <x:c r="U299" s="12" t="n">
        <x:v>39.547</x:v>
      </x:c>
      <x:c r="V299" s="9" t="str">
        <x:v>sympy/polys/monomials.py</x:v>
      </x:c>
      <x:c r="W299" s="9" t="str"/>
      <x:c r="X299" s="9" t="str">
        <x:v>task_output-wsl/lite-baseline-001/instances/sympy__sympy-21847/attempt-0001/state.json
task_output-wsl/lite-baseline-001/instances/sympy__sympy-21847/attempt-0001/state.json</x:v>
      </x:c>
      <x:c r="Y299" s="2" t="str">
        <x:v>thinking
text</x:v>
      </x:c>
      <x:c r="Z299" s="11" t="n">
        <x:v>367</x:v>
      </x:c>
      <x:c r="AA299" s="11" t="n">
        <x:v>0</x:v>
      </x:c>
    </x:row>
    <x:row r="300" ht="37" customHeight="1">
      <x:c r="A300" s="2" t="str">
        <x:v>sympy__sympy-22714</x:v>
      </x:c>
      <x:c r="B300" s="2" t="str">
        <x:v>sympy/sympy</x:v>
      </x:c>
      <x:c r="C300" s="2" t="str">
        <x:v>resolved</x:v>
      </x:c>
      <x:c r="D300" s="2" t="str">
        <x:v>已解决</x:v>
      </x:c>
      <x:c r="E300" s="10" t="str">
        <x:v>gold通过，最新attempt未记录API终止、runner启动失败或评测基础设施终止；不代表原始全套测试零失败。</x:v>
      </x:c>
      <x:c r="F300" s="10" t="str"/>
      <x:c r="G300" s="2" t="str">
        <x:v>通过</x:v>
      </x:c>
      <x:c r="H300" s="2" t="str">
        <x:v>completed</x:v>
      </x:c>
      <x:c r="I300" s="11" t="n">
        <x:v>1</x:v>
      </x:c>
      <x:c r="J300" s="11" t="n">
        <x:v>1</x:v>
      </x:c>
      <x:c r="K300" s="11" t="str">
        <x:v>resolved</x:v>
      </x:c>
      <x:c r="L300" s="11" t="n">
        <x:v>1</x:v>
      </x:c>
      <x:c r="M300" s="11" t="n">
        <x:v>0</x:v>
      </x:c>
      <x:c r="N300" s="11" t="n">
        <x:v>11</x:v>
      </x:c>
      <x:c r="O300" s="11" t="n">
        <x:v>0</x:v>
      </x:c>
      <x:c r="P300" s="11" t="n">
        <x:v>171219</x:v>
      </x:c>
      <x:c r="Q300" s="11" t="n">
        <x:v>171219</x:v>
      </x:c>
      <x:c r="R300" s="11" t="n">
        <x:v>16</x:v>
      </x:c>
      <x:c r="S300" s="11" t="n">
        <x:v>16</x:v>
      </x:c>
      <x:c r="T300" s="11" t="n">
        <x:v>16</x:v>
      </x:c>
      <x:c r="U300" s="12" t="n">
        <x:v>82.159</x:v>
      </x:c>
      <x:c r="V300" s="9" t="str">
        <x:v>sympy/geometry/point.py</x:v>
      </x:c>
      <x:c r="W300" s="9" t="str"/>
      <x:c r="X300" s="9" t="str">
        <x:v>task_output-wsl/lite-baseline-001/instances/sympy__sympy-22714/attempt-0001/state.json
task_output-wsl/lite-baseline-001/instances/sympy__sympy-22714/attempt-0001/state.json</x:v>
      </x:c>
      <x:c r="Y300" s="2" t="str">
        <x:v>thinking
text</x:v>
      </x:c>
      <x:c r="Z300" s="11" t="n">
        <x:v>1775</x:v>
      </x:c>
      <x:c r="AA300" s="11" t="n">
        <x:v>0</x:v>
      </x:c>
    </x:row>
    <x:row r="301" ht="37" customHeight="1">
      <x:c r="A301" s="2" t="str">
        <x:v>sympy__sympy-23117</x:v>
      </x:c>
      <x:c r="B301" s="2" t="str">
        <x:v>sympy/sympy</x:v>
      </x:c>
      <x:c r="C301" s="2" t="str">
        <x:v>resolved</x:v>
      </x:c>
      <x:c r="D301" s="2" t="str">
        <x:v>已解决</x:v>
      </x:c>
      <x:c r="E301" s="10" t="str">
        <x:v>gold通过，最新attempt未记录API终止、runner启动失败或评测基础设施终止；不代表原始全套测试零失败。</x:v>
      </x:c>
      <x:c r="F301" s="10" t="str"/>
      <x:c r="G301" s="2" t="str">
        <x:v>通过</x:v>
      </x:c>
      <x:c r="H301" s="2" t="str">
        <x:v>limit</x:v>
      </x:c>
      <x:c r="I301" s="11" t="n">
        <x:v>1</x:v>
      </x:c>
      <x:c r="J301" s="11" t="n">
        <x:v>1</x:v>
      </x:c>
      <x:c r="K301" s="11" t="str">
        <x:v>resolved</x:v>
      </x:c>
      <x:c r="L301" s="11" t="n">
        <x:v>1</x:v>
      </x:c>
      <x:c r="M301" s="11" t="n">
        <x:v>0</x:v>
      </x:c>
      <x:c r="N301" s="11" t="n">
        <x:v>3</x:v>
      </x:c>
      <x:c r="O301" s="11" t="n">
        <x:v>0</x:v>
      </x:c>
      <x:c r="P301" s="11" t="n">
        <x:v>753930</x:v>
      </x:c>
      <x:c r="Q301" s="11" t="n">
        <x:v>753930</x:v>
      </x:c>
      <x:c r="R301" s="11" t="n">
        <x:v>63</x:v>
      </x:c>
      <x:c r="S301" s="11" t="n">
        <x:v>63</x:v>
      </x:c>
      <x:c r="T301" s="11" t="n">
        <x:v>60</x:v>
      </x:c>
      <x:c r="U301" s="12" t="n">
        <x:v>202.801</x:v>
      </x:c>
      <x:c r="V301" s="9" t="str">
        <x:v>sympy/tensor/array/ndim_array.py</x:v>
      </x:c>
      <x:c r="W301" s="9" t="str"/>
      <x:c r="X301" s="9" t="str">
        <x:v>task_output-wsl/lite-baseline-001/instances/sympy__sympy-23117/attempt-0001/state.json
task_output-wsl/lite-baseline-001/instances/sympy__sympy-23117/attempt-0001/state.json</x:v>
      </x:c>
      <x:c r="Y301" s="2" t="str">
        <x:v>thinking
tool_use</x:v>
      </x:c>
      <x:c r="Z301" s="11" t="n">
        <x:v>1024</x:v>
      </x:c>
      <x:c r="AA301" s="11" t="n">
        <x:v>0</x:v>
      </x:c>
    </x:row>
    <x:row r="302" ht="37" customHeight="1">
      <x:c r="A302" s="2" t="str">
        <x:v>sympy__sympy-23262</x:v>
      </x:c>
      <x:c r="B302" s="2" t="str">
        <x:v>sympy/sympy</x:v>
      </x:c>
      <x:c r="C302" s="2" t="str">
        <x:v>resolved</x:v>
      </x:c>
      <x:c r="D302" s="2" t="str">
        <x:v>已解决</x:v>
      </x:c>
      <x:c r="E302" s="10" t="str">
        <x:v>gold通过，最新attempt未记录API终止、runner启动失败或评测基础设施终止；不代表原始全套测试零失败。</x:v>
      </x:c>
      <x:c r="F302" s="10" t="str"/>
      <x:c r="G302" s="2" t="str">
        <x:v>通过</x:v>
      </x:c>
      <x:c r="H302" s="2" t="str">
        <x:v>completed</x:v>
      </x:c>
      <x:c r="I302" s="11" t="n">
        <x:v>1</x:v>
      </x:c>
      <x:c r="J302" s="11" t="n">
        <x:v>1</x:v>
      </x:c>
      <x:c r="K302" s="11" t="str">
        <x:v>resolved</x:v>
      </x:c>
      <x:c r="L302" s="11" t="n">
        <x:v>1</x:v>
      </x:c>
      <x:c r="M302" s="11" t="n">
        <x:v>0</x:v>
      </x:c>
      <x:c r="N302" s="11" t="n">
        <x:v>61</x:v>
      </x:c>
      <x:c r="O302" s="11" t="n">
        <x:v>0</x:v>
      </x:c>
      <x:c r="P302" s="11" t="n">
        <x:v>168650</x:v>
      </x:c>
      <x:c r="Q302" s="11" t="n">
        <x:v>168650</x:v>
      </x:c>
      <x:c r="R302" s="11" t="n">
        <x:v>17</x:v>
      </x:c>
      <x:c r="S302" s="11" t="n">
        <x:v>17</x:v>
      </x:c>
      <x:c r="T302" s="11" t="n">
        <x:v>17</x:v>
      </x:c>
      <x:c r="U302" s="12" t="n">
        <x:v>32.438</x:v>
      </x:c>
      <x:c r="V302" s="9" t="str">
        <x:v>sympy/utilities/lambdify.py</x:v>
      </x:c>
      <x:c r="W302" s="9" t="str"/>
      <x:c r="X302" s="9" t="str">
        <x:v>task_output-wsl/lite-baseline-001/instances/sympy__sympy-23262/attempt-0001/state.json
task_output-wsl/lite-baseline-001/instances/sympy__sympy-23262/attempt-0001/state.json</x:v>
      </x:c>
      <x:c r="Y302" s="2" t="str">
        <x:v>thinking
text</x:v>
      </x:c>
      <x:c r="Z302" s="11" t="n">
        <x:v>211</x:v>
      </x:c>
      <x:c r="AA302" s="11" t="n">
        <x:v>0</x:v>
      </x:c>
    </x:row>
    <x:row r="303" ht="37" customHeight="1">
      <x:c r="A303" s="2" t="str">
        <x:v>sympy__sympy-24066</x:v>
      </x:c>
      <x:c r="B303" s="2" t="str">
        <x:v>sympy/sympy</x:v>
      </x:c>
      <x:c r="C303" s="2" t="str">
        <x:v>resolved</x:v>
      </x:c>
      <x:c r="D303" s="2" t="str">
        <x:v>已解决</x:v>
      </x:c>
      <x:c r="E303" s="10" t="str">
        <x:v>gold通过，最新attempt未记录API终止、runner启动失败或评测基础设施终止；不代表原始全套测试零失败。</x:v>
      </x:c>
      <x:c r="F303" s="10" t="str"/>
      <x:c r="G303" s="2" t="str">
        <x:v>通过</x:v>
      </x:c>
      <x:c r="H303" s="2" t="str">
        <x:v>completed</x:v>
      </x:c>
      <x:c r="I303" s="11" t="n">
        <x:v>1</x:v>
      </x:c>
      <x:c r="J303" s="11" t="n">
        <x:v>1</x:v>
      </x:c>
      <x:c r="K303" s="11" t="str">
        <x:v>resolved</x:v>
      </x:c>
      <x:c r="L303" s="11" t="n">
        <x:v>1</x:v>
      </x:c>
      <x:c r="M303" s="11" t="n">
        <x:v>0</x:v>
      </x:c>
      <x:c r="N303" s="11" t="n">
        <x:v>30</x:v>
      </x:c>
      <x:c r="O303" s="11" t="n">
        <x:v>0</x:v>
      </x:c>
      <x:c r="P303" s="11" t="n">
        <x:v>288042</x:v>
      </x:c>
      <x:c r="Q303" s="11" t="n">
        <x:v>288042</x:v>
      </x:c>
      <x:c r="R303" s="11" t="n">
        <x:v>28</x:v>
      </x:c>
      <x:c r="S303" s="11" t="n">
        <x:v>28</x:v>
      </x:c>
      <x:c r="T303" s="11" t="n">
        <x:v>27</x:v>
      </x:c>
      <x:c r="U303" s="12" t="n">
        <x:v>140.219</x:v>
      </x:c>
      <x:c r="V303" s="9" t="str">
        <x:v>sympy/physics/units/unitsystem.py</x:v>
      </x:c>
      <x:c r="W303" s="9" t="str"/>
      <x:c r="X303" s="9" t="str">
        <x:v>task_output-wsl/lite-baseline-001/instances/sympy__sympy-24066/attempt-0001/state.json
task_output-wsl/lite-baseline-001/instances/sympy__sympy-24066/attempt-0001/state.json</x:v>
      </x:c>
      <x:c r="Y303" s="2" t="str">
        <x:v>thinking
text</x:v>
      </x:c>
      <x:c r="Z303" s="11" t="n">
        <x:v>417</x:v>
      </x:c>
      <x:c r="AA303" s="11" t="n">
        <x:v>0</x:v>
      </x:c>
    </x:row>
    <x:row r="304" ht="37" customHeight="1">
      <x:c r="A304" s="2" t="str">
        <x:v>sympy__sympy-24152</x:v>
      </x:c>
      <x:c r="B304" s="2" t="str">
        <x:v>sympy/sympy</x:v>
      </x:c>
      <x:c r="C304" s="2" t="str">
        <x:v>resolved</x:v>
      </x:c>
      <x:c r="D304" s="2" t="str">
        <x:v>已解决</x:v>
      </x:c>
      <x:c r="E304" s="10" t="str">
        <x:v>gold通过，最新attempt未记录API终止、runner启动失败或评测基础设施终止；不代表原始全套测试零失败。</x:v>
      </x:c>
      <x:c r="F304" s="10" t="str"/>
      <x:c r="G304" s="2" t="str">
        <x:v>通过</x:v>
      </x:c>
      <x:c r="H304" s="2" t="str">
        <x:v>completed</x:v>
      </x:c>
      <x:c r="I304" s="11" t="n">
        <x:v>1</x:v>
      </x:c>
      <x:c r="J304" s="11" t="n">
        <x:v>1</x:v>
      </x:c>
      <x:c r="K304" s="11" t="str">
        <x:v>resolved</x:v>
      </x:c>
      <x:c r="L304" s="11" t="n">
        <x:v>1</x:v>
      </x:c>
      <x:c r="M304" s="11" t="n">
        <x:v>0</x:v>
      </x:c>
      <x:c r="N304" s="11" t="n">
        <x:v>6</x:v>
      </x:c>
      <x:c r="O304" s="11" t="n">
        <x:v>0</x:v>
      </x:c>
      <x:c r="P304" s="11" t="n">
        <x:v>132167</x:v>
      </x:c>
      <x:c r="Q304" s="11" t="n">
        <x:v>132167</x:v>
      </x:c>
      <x:c r="R304" s="11" t="n">
        <x:v>14</x:v>
      </x:c>
      <x:c r="S304" s="11" t="n">
        <x:v>14</x:v>
      </x:c>
      <x:c r="T304" s="11" t="n">
        <x:v>14</x:v>
      </x:c>
      <x:c r="U304" s="12" t="n">
        <x:v>137.196</x:v>
      </x:c>
      <x:c r="V304" s="9" t="str">
        <x:v>sympy/physics/quantum/tensorproduct.py</x:v>
      </x:c>
      <x:c r="W304" s="9" t="str"/>
      <x:c r="X304" s="9" t="str">
        <x:v>task_output-wsl/lite-baseline-001/instances/sympy__sympy-24152/attempt-0001/state.json
task_output-wsl/lite-baseline-001/instances/sympy__sympy-24152/attempt-0001/state.json</x:v>
      </x:c>
      <x:c r="Y304" s="2" t="str">
        <x:v>thinking
text</x:v>
      </x:c>
      <x:c r="Z304" s="11" t="n">
        <x:v>242</x:v>
      </x:c>
      <x:c r="AA304" s="11" t="n">
        <x:v>0</x:v>
      </x:c>
    </x:row>
    <x:row r="305" ht="37" customHeight="1">
      <x:c r="A305" s="2" t="str">
        <x:v>sympy__sympy-24213</x:v>
      </x:c>
      <x:c r="B305" s="2" t="str">
        <x:v>sympy/sympy</x:v>
      </x:c>
      <x:c r="C305" s="2" t="str">
        <x:v>resolved</x:v>
      </x:c>
      <x:c r="D305" s="2" t="str">
        <x:v>已解决</x:v>
      </x:c>
      <x:c r="E305" s="10" t="str">
        <x:v>gold通过，最新attempt未记录API终止、runner启动失败或评测基础设施终止；不代表原始全套测试零失败。</x:v>
      </x:c>
      <x:c r="F305" s="10" t="str"/>
      <x:c r="G305" s="2" t="str">
        <x:v>通过</x:v>
      </x:c>
      <x:c r="H305" s="2" t="str">
        <x:v>completed</x:v>
      </x:c>
      <x:c r="I305" s="11" t="n">
        <x:v>1</x:v>
      </x:c>
      <x:c r="J305" s="11" t="n">
        <x:v>1</x:v>
      </x:c>
      <x:c r="K305" s="11" t="str">
        <x:v>resolved</x:v>
      </x:c>
      <x:c r="L305" s="11" t="n">
        <x:v>1</x:v>
      </x:c>
      <x:c r="M305" s="11" t="n">
        <x:v>0</x:v>
      </x:c>
      <x:c r="N305" s="11" t="n">
        <x:v>31</x:v>
      </x:c>
      <x:c r="O305" s="11" t="n">
        <x:v>0</x:v>
      </x:c>
      <x:c r="P305" s="11" t="n">
        <x:v>91570</x:v>
      </x:c>
      <x:c r="Q305" s="11" t="n">
        <x:v>91570</x:v>
      </x:c>
      <x:c r="R305" s="11" t="n">
        <x:v>11</x:v>
      </x:c>
      <x:c r="S305" s="11" t="n">
        <x:v>11</x:v>
      </x:c>
      <x:c r="T305" s="11" t="n">
        <x:v>11</x:v>
      </x:c>
      <x:c r="U305" s="12" t="n">
        <x:v>24.75</x:v>
      </x:c>
      <x:c r="V305" s="9" t="str">
        <x:v>sympy/physics/units/unitsystem.py</x:v>
      </x:c>
      <x:c r="W305" s="9" t="str"/>
      <x:c r="X305" s="9" t="str">
        <x:v>task_output-wsl/lite-baseline-001/instances/sympy__sympy-24213/attempt-0001/state.json
task_output-wsl/lite-baseline-001/instances/sympy__sympy-24213/attempt-0001/state.json</x:v>
      </x:c>
      <x:c r="Y305" s="2" t="str">
        <x:v>thinking
text</x:v>
      </x:c>
      <x:c r="Z305" s="11" t="n">
        <x:v>344</x:v>
      </x:c>
      <x:c r="AA305" s="11" t="n">
        <x:v>0</x:v>
      </x:c>
    </x:row>
  </x:sheetData>
  <x:conditionalFormatting sqref="C6:C305">
    <x:cfRule type="expression" dxfId="0" priority="1">
      <x:formula>C6&lt;&gt;"resolved"</x:formula>
    </x:cfRule>
  </x:conditionalFormatting>
  <x:conditionalFormatting sqref="M6:M305">
    <x:cfRule type="cellIs" dxfId="1" priority="2" operator="greaterThan">
      <x:formula>0</x:formula>
    </x:cfRule>
  </x:conditionalFormatting>
  <x:conditionalFormatting sqref="O6:O305">
    <x:cfRule type="cellIs" dxfId="2" priority="3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1d75c09a40405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0" hidden="0" customWidth="1"/>
    <x:col min="2" max="2" width="29" hidden="0" customWidth="1"/>
    <x:col min="3" max="3" width="18" hidden="0" customWidth="1"/>
    <x:col min="4" max="4" width="18" hidden="0" customWidth="1"/>
    <x:col min="5" max="5" width="17" hidden="0" customWidth="1"/>
    <x:col min="6" max="6" width="18" hidden="0" customWidth="1"/>
    <x:col min="7" max="7" width="18" hidden="0" customWidth="1"/>
    <x:col min="8" max="8" width="21" hidden="0" customWidth="1"/>
    <x:col min="9" max="9" width="18" hidden="0" customWidth="1"/>
    <x:col min="10" max="10" width="15" hidden="0" customWidth="1"/>
    <x:col min="11" max="11" width="19" hidden="0" customWidth="1"/>
    <x:col min="12" max="12" width="21" hidden="0" customWidth="1"/>
    <x:col min="13" max="13" width="16" hidden="0" customWidth="1"/>
    <x:col min="14" max="14" width="19" hidden="0" customWidth="1"/>
    <x:col min="15" max="15" width="16" hidden="0" customWidth="1"/>
    <x:col min="16" max="16" width="100" hidden="0" customWidth="1"/>
    <x:col min="17" max="17" width="120" hidden="0" customWidth="1"/>
    <x:col min="18" max="18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9" customHeight="1">
      <x:c r="A2" s="7" t="str">
        <x:v>SWE-bench Lite 历史尝试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3" customHeight="1">
      <x:c r="A3" s="8" t="str">
        <x:v>每行一个流水线 attempt。首次流水线、首次 Agent 启动、有模型请求三列均用 1 / 0 标记；启动异常可能没有模型请求。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9" customHeight="1">
      <x:c r="A5" s="6" t="str">
        <x:v>题目 ID</x:v>
      </x:c>
      <x:c r="B5" s="6" t="str">
        <x:v>仓库</x:v>
      </x:c>
      <x:c r="C5" s="6" t="str">
        <x:v>attempt</x:v>
      </x:c>
      <x:c r="D5" s="6" t="str">
        <x:v>流水线结果</x:v>
      </x:c>
      <x:c r="E5" s="6" t="str">
        <x:v>最后阶段</x:v>
      </x:c>
      <x:c r="F5" s="6" t="str">
        <x:v>Agent 状态</x:v>
      </x:c>
      <x:c r="G5" s="6" t="str">
        <x:v>首次流水线</x:v>
      </x:c>
      <x:c r="H5" s="6" t="str">
        <x:v>首次 Agent 启动</x:v>
      </x:c>
      <x:c r="I5" s="6" t="str">
        <x:v>有模型请求</x:v>
      </x:c>
      <x:c r="J5" s="6" t="str">
        <x:v>gold 验证</x:v>
      </x:c>
      <x:c r="K5" s="6" t="str">
        <x:v>补丁状态</x:v>
      </x:c>
      <x:c r="L5" s="6" t="str">
        <x:v>官方判分状态</x:v>
      </x:c>
      <x:c r="M5" s="6" t="str">
        <x:v>请求数</x:v>
      </x:c>
      <x:c r="N5" s="6" t="str">
        <x:v>tokens</x:v>
      </x:c>
      <x:c r="O5" s="6" t="str">
        <x:v>推理秒数</x:v>
      </x:c>
      <x:c r="P5" s="6" t="str">
        <x:v>异常或停止原因</x:v>
      </x:c>
      <x:c r="Q5" s="6" t="str">
        <x:v>state 证据路径</x:v>
      </x:c>
      <x:c r="R5" s="6" t="str">
        <x:v>最新 attempt</x:v>
      </x:c>
    </x:row>
    <x:row r="6" ht="44" customHeight="1">
      <x:c r="A6" s="2" t="str">
        <x:v>astropy__astropy-12907</x:v>
      </x:c>
      <x:c r="B6" s="2" t="str">
        <x:v>astropy/astropy</x:v>
      </x:c>
      <x:c r="C6" s="2" t="str">
        <x:v>attempt-0001</x:v>
      </x:c>
      <x:c r="D6" s="2" t="str">
        <x:v>resolved</x:v>
      </x:c>
      <x:c r="E6" s="2" t="str">
        <x:v>finished</x:v>
      </x:c>
      <x:c r="F6" s="2" t="str">
        <x:v>completed</x:v>
      </x:c>
      <x:c r="G6" s="13" t="n">
        <x:v>1</x:v>
      </x:c>
      <x:c r="H6" s="13" t="n">
        <x:v>1</x:v>
      </x:c>
      <x:c r="I6" s="13" t="n">
        <x:v>1</x:v>
      </x:c>
      <x:c r="J6" s="2" t="str">
        <x:v>通过</x:v>
      </x:c>
      <x:c r="K6" s="2" t="str">
        <x:v>nonempty</x:v>
      </x:c>
      <x:c r="L6" s="2" t="str">
        <x:v>resolved</x:v>
      </x:c>
      <x:c r="M6" s="11" t="n">
        <x:v>15</x:v>
      </x:c>
      <x:c r="N6" s="11" t="n">
        <x:v>146718</x:v>
      </x:c>
      <x:c r="O6" s="12" t="n">
        <x:v>59.036</x:v>
      </x:c>
      <x:c r="P6" s="9" t="str"/>
      <x:c r="Q6" s="9" t="str">
        <x:v>task_output-wsl/lite-baseline-001/instances/astropy__astropy-12907/attempt-0001/state.json</x:v>
      </x:c>
      <x:c r="R6" s="2" t="n">
        <x:v>1</x:v>
      </x:c>
    </x:row>
    <x:row r="7" ht="44" customHeight="1">
      <x:c r="A7" s="2" t="str">
        <x:v>astropy__astropy-14182</x:v>
      </x:c>
      <x:c r="B7" s="2" t="str">
        <x:v>astropy/astropy</x:v>
      </x:c>
      <x:c r="C7" s="2" t="str">
        <x:v>attempt-0001</x:v>
      </x:c>
      <x:c r="D7" s="2" t="str">
        <x:v>empty_patch</x:v>
      </x:c>
      <x:c r="E7" s="2" t="str">
        <x:v>finished</x:v>
      </x:c>
      <x:c r="F7" s="2" t="str">
        <x:v>error</x:v>
      </x:c>
      <x:c r="G7" s="13" t="n">
        <x:v>1</x:v>
      </x:c>
      <x:c r="H7" s="13" t="n">
        <x:v>1</x:v>
      </x:c>
      <x:c r="I7" s="13" t="n">
        <x:v>1</x:v>
      </x:c>
      <x:c r="J7" s="2" t="str">
        <x:v>通过</x:v>
      </x:c>
      <x:c r="K7" s="2" t="str">
        <x:v>empty</x:v>
      </x:c>
      <x:c r="L7" s="2" t="str">
        <x:v>not_run</x:v>
      </x:c>
      <x:c r="M7" s="11" t="n">
        <x:v>24</x:v>
      </x:c>
      <x:c r="N7" s="11" t="n">
        <x:v>261334</x:v>
      </x:c>
      <x:c r="O7" s="12" t="n">
        <x:v>49.528</x:v>
      </x:c>
      <x:c r="P7" s="9" t="str">
        <x:v>peer closed connection without sending complete message body (incomplete chunked read)</x:v>
      </x:c>
      <x:c r="Q7" s="9" t="str">
        <x:v>task_output-wsl/lite-baseline-001/instances/astropy__astropy-14182/attempt-0001/state.json</x:v>
      </x:c>
      <x:c r="R7" s="2" t="n">
        <x:v>1</x:v>
      </x:c>
    </x:row>
    <x:row r="8" ht="44" customHeight="1">
      <x:c r="A8" s="2" t="str">
        <x:v>astropy__astropy-14365</x:v>
      </x:c>
      <x:c r="B8" s="2" t="str">
        <x:v>astropy/astropy</x:v>
      </x:c>
      <x:c r="C8" s="2" t="str">
        <x:v>attempt-0001</x:v>
      </x:c>
      <x:c r="D8" s="2" t="str">
        <x:v>resolved</x:v>
      </x:c>
      <x:c r="E8" s="2" t="str">
        <x:v>finished</x:v>
      </x:c>
      <x:c r="F8" s="2" t="str">
        <x:v>completed</x:v>
      </x:c>
      <x:c r="G8" s="13" t="n">
        <x:v>1</x:v>
      </x:c>
      <x:c r="H8" s="13" t="n">
        <x:v>1</x:v>
      </x:c>
      <x:c r="I8" s="13" t="n">
        <x:v>1</x:v>
      </x:c>
      <x:c r="J8" s="2" t="str">
        <x:v>通过</x:v>
      </x:c>
      <x:c r="K8" s="2" t="str">
        <x:v>nonempty</x:v>
      </x:c>
      <x:c r="L8" s="2" t="str">
        <x:v>resolved</x:v>
      </x:c>
      <x:c r="M8" s="11" t="n">
        <x:v>10</x:v>
      </x:c>
      <x:c r="N8" s="11" t="n">
        <x:v>89390</x:v>
      </x:c>
      <x:c r="O8" s="12" t="n">
        <x:v>21.479</x:v>
      </x:c>
      <x:c r="P8" s="9" t="str"/>
      <x:c r="Q8" s="9" t="str">
        <x:v>task_output-wsl/lite-baseline-001/instances/astropy__astropy-14365/attempt-0001/state.json</x:v>
      </x:c>
      <x:c r="R8" s="2" t="n">
        <x:v>1</x:v>
      </x:c>
    </x:row>
    <x:row r="9" ht="44" customHeight="1">
      <x:c r="A9" s="2" t="str">
        <x:v>astropy__astropy-14995</x:v>
      </x:c>
      <x:c r="B9" s="2" t="str">
        <x:v>astropy/astropy</x:v>
      </x:c>
      <x:c r="C9" s="2" t="str">
        <x:v>attempt-0001</x:v>
      </x:c>
      <x:c r="D9" s="2" t="str">
        <x:v>resolved</x:v>
      </x:c>
      <x:c r="E9" s="2" t="str">
        <x:v>finished</x:v>
      </x:c>
      <x:c r="F9" s="2" t="str">
        <x:v>completed</x:v>
      </x:c>
      <x:c r="G9" s="13" t="n">
        <x:v>1</x:v>
      </x:c>
      <x:c r="H9" s="13" t="n">
        <x:v>1</x:v>
      </x:c>
      <x:c r="I9" s="13" t="n">
        <x:v>1</x:v>
      </x:c>
      <x:c r="J9" s="2" t="str">
        <x:v>通过</x:v>
      </x:c>
      <x:c r="K9" s="2" t="str">
        <x:v>nonempty</x:v>
      </x:c>
      <x:c r="L9" s="2" t="str">
        <x:v>resolved</x:v>
      </x:c>
      <x:c r="M9" s="11" t="n">
        <x:v>15</x:v>
      </x:c>
      <x:c r="N9" s="11" t="n">
        <x:v>183546</x:v>
      </x:c>
      <x:c r="O9" s="12" t="n">
        <x:v>47.369</x:v>
      </x:c>
      <x:c r="P9" s="9" t="str"/>
      <x:c r="Q9" s="9" t="str">
        <x:v>task_output-wsl/lite-baseline-001/instances/astropy__astropy-14995/attempt-0001/state.json</x:v>
      </x:c>
      <x:c r="R9" s="2" t="n">
        <x:v>1</x:v>
      </x:c>
    </x:row>
    <x:row r="10" ht="44" customHeight="1">
      <x:c r="A10" s="2" t="str">
        <x:v>astropy__astropy-6938</x:v>
      </x:c>
      <x:c r="B10" s="2" t="str">
        <x:v>astropy/astropy</x:v>
      </x:c>
      <x:c r="C10" s="2" t="str">
        <x:v>attempt-0001</x:v>
      </x:c>
      <x:c r="D10" s="2" t="str">
        <x:v>empty_patch</x:v>
      </x:c>
      <x:c r="E10" s="2" t="str">
        <x:v>finished</x:v>
      </x:c>
      <x:c r="F10" s="2" t="str">
        <x:v>error</x:v>
      </x:c>
      <x:c r="G10" s="13" t="n">
        <x:v>1</x:v>
      </x:c>
      <x:c r="H10" s="13" t="n">
        <x:v>1</x:v>
      </x:c>
      <x:c r="I10" s="13" t="n">
        <x:v>0</x:v>
      </x:c>
      <x:c r="J10" s="2" t="str">
        <x:v>通过</x:v>
      </x:c>
      <x:c r="K10" s="2" t="str">
        <x:v>empty</x:v>
      </x:c>
      <x:c r="L10" s="2" t="str">
        <x:v>not_run</x:v>
      </x:c>
      <x:c r="M10" s="11" t="n">
        <x:v>0</x:v>
      </x:c>
      <x:c r="N10" s="11" t="n">
        <x:v>0</x:v>
      </x:c>
      <x:c r="O10" s="12"/>
      <x:c r="P10" s="9" t="str">
        <x:v>Agent returned no result.json; see agent-console.log.</x:v>
      </x:c>
      <x:c r="Q10" s="9" t="str">
        <x:v>task_output-wsl/lite-baseline-001/instances/astropy__astropy-6938/attempt-0001/state.json</x:v>
      </x:c>
      <x:c r="R10" s="2" t="n">
        <x:v>1</x:v>
      </x:c>
    </x:row>
    <x:row r="11" ht="44" customHeight="1">
      <x:c r="A11" s="2" t="str">
        <x:v>astropy__astropy-7746</x:v>
      </x:c>
      <x:c r="B11" s="2" t="str">
        <x:v>astropy/astropy</x:v>
      </x:c>
      <x:c r="C11" s="2" t="str">
        <x:v>attempt-0001</x:v>
      </x:c>
      <x:c r="D11" s="2" t="str">
        <x:v>empty_patch</x:v>
      </x:c>
      <x:c r="E11" s="2" t="str">
        <x:v>finished</x:v>
      </x:c>
      <x:c r="F11" s="2" t="str">
        <x:v>error</x:v>
      </x:c>
      <x:c r="G11" s="13" t="n">
        <x:v>1</x:v>
      </x:c>
      <x:c r="H11" s="13" t="n">
        <x:v>1</x:v>
      </x:c>
      <x:c r="I11" s="13" t="n">
        <x:v>0</x:v>
      </x:c>
      <x:c r="J11" s="2" t="str">
        <x:v>通过</x:v>
      </x:c>
      <x:c r="K11" s="2" t="str">
        <x:v>empty</x:v>
      </x:c>
      <x:c r="L11" s="2" t="str">
        <x:v>not_run</x:v>
      </x:c>
      <x:c r="M11" s="11" t="n">
        <x:v>0</x:v>
      </x:c>
      <x:c r="N11" s="11" t="n">
        <x:v>0</x:v>
      </x:c>
      <x:c r="O11" s="12"/>
      <x:c r="P11" s="9" t="str">
        <x:v>Agent returned no result.json; see agent-console.log.</x:v>
      </x:c>
      <x:c r="Q11" s="9" t="str">
        <x:v>task_output-wsl/lite-baseline-001/instances/astropy__astropy-7746/attempt-0001/state.json</x:v>
      </x:c>
      <x:c r="R11" s="2" t="n">
        <x:v>1</x:v>
      </x:c>
    </x:row>
    <x:row r="12" ht="44" customHeight="1">
      <x:c r="A12" s="2" t="str">
        <x:v>django__django-10914</x:v>
      </x:c>
      <x:c r="B12" s="2" t="str">
        <x:v>django/django</x:v>
      </x:c>
      <x:c r="C12" s="2" t="str">
        <x:v>attempt-0001</x:v>
      </x:c>
      <x:c r="D12" s="2" t="str">
        <x:v>error</x:v>
      </x:c>
      <x:c r="E12" s="2" t="str">
        <x:v>image</x:v>
      </x:c>
      <x:c r="F12" s="2" t="str">
        <x:v>未启动</x:v>
      </x:c>
      <x:c r="G12" s="13" t="n">
        <x:v>1</x:v>
      </x:c>
      <x:c r="H12" s="13" t="n">
        <x:v>0</x:v>
      </x:c>
      <x:c r="I12" s="13" t="n">
        <x:v>0</x:v>
      </x:c>
      <x:c r="J12" s="2" t="str">
        <x:v>无记录</x:v>
      </x:c>
      <x:c r="K12" s="2" t="str">
        <x:v>not_collected</x:v>
      </x:c>
      <x:c r="L12" s="2" t="str">
        <x:v>not_run</x:v>
      </x:c>
      <x:c r="M12" s="11" t="n">
        <x:v>0</x:v>
      </x:c>
      <x:c r="N12" s="11" t="n">
        <x:v>0</x:v>
      </x:c>
      <x:c r="O12" s="12"/>
      <x:c r="P12" s="9" t="str">
        <x:v>APIError: 500 Server Error for http+docker://localhost/v1.51/images/create?tag=latest&amp;fromImage=swebench%2Fsweb.eval.x86_64.django_1776_django-10914&amp;platform=linux%2Famd64: Internal Server Error ("failed to resolve reference "docker.io/swebench/sweb.eval.x86_64.django_1776_django-10914:latest": failed to do request: Head "https://registry-1.docker.io/v2/swebench/sweb.eval.x86_64.django_1776_django-10914/manifests/latest": EOF")</x:v>
      </x:c>
      <x:c r="Q12" s="9" t="str">
        <x:v>task_output-wsl/lite-baseline-001/instances/django__django-10914/attempt-0001/state.json</x:v>
      </x:c>
      <x:c r="R12" s="2" t="n">
        <x:v>0</x:v>
      </x:c>
    </x:row>
    <x:row r="13" ht="44" customHeight="1">
      <x:c r="A13" s="2" t="str">
        <x:v>django__django-10914</x:v>
      </x:c>
      <x:c r="B13" s="2" t="str">
        <x:v>django/django</x:v>
      </x:c>
      <x:c r="C13" s="2" t="str">
        <x:v>attempt-0002</x:v>
      </x:c>
      <x:c r="D13" s="2" t="str">
        <x:v>resolved</x:v>
      </x:c>
      <x:c r="E13" s="2" t="str">
        <x:v>finished</x:v>
      </x:c>
      <x:c r="F13" s="2" t="str">
        <x:v>completed</x:v>
      </x:c>
      <x:c r="G13" s="13" t="n">
        <x:v>0</x:v>
      </x:c>
      <x:c r="H13" s="13" t="n">
        <x:v>1</x:v>
      </x:c>
      <x:c r="I13" s="13" t="n">
        <x:v>1</x:v>
      </x:c>
      <x:c r="J13" s="2" t="str">
        <x:v>通过</x:v>
      </x:c>
      <x:c r="K13" s="2" t="str">
        <x:v>nonempty</x:v>
      </x:c>
      <x:c r="L13" s="2" t="str">
        <x:v>resolved</x:v>
      </x:c>
      <x:c r="M13" s="11" t="n">
        <x:v>33</x:v>
      </x:c>
      <x:c r="N13" s="11" t="n">
        <x:v>328886</x:v>
      </x:c>
      <x:c r="O13" s="12" t="n">
        <x:v>76.412</x:v>
      </x:c>
      <x:c r="P13" s="9" t="str"/>
      <x:c r="Q13" s="9" t="str">
        <x:v>task_output-wsl/lite-baseline-001/instances/django__django-10914/attempt-0002/state.json</x:v>
      </x:c>
      <x:c r="R13" s="2" t="n">
        <x:v>1</x:v>
      </x:c>
    </x:row>
    <x:row r="14" ht="44" customHeight="1">
      <x:c r="A14" s="2" t="str">
        <x:v>django__django-10924</x:v>
      </x:c>
      <x:c r="B14" s="2" t="str">
        <x:v>django/django</x:v>
      </x:c>
      <x:c r="C14" s="2" t="str">
        <x:v>attempt-0001</x:v>
      </x:c>
      <x:c r="D14" s="2" t="str">
        <x:v>error</x:v>
      </x:c>
      <x:c r="E14" s="2" t="str">
        <x:v>image</x:v>
      </x:c>
      <x:c r="F14" s="2" t="str">
        <x:v>未启动</x:v>
      </x:c>
      <x:c r="G14" s="13" t="n">
        <x:v>1</x:v>
      </x:c>
      <x:c r="H14" s="13" t="n">
        <x:v>0</x:v>
      </x:c>
      <x:c r="I14" s="13" t="n">
        <x:v>0</x:v>
      </x:c>
      <x:c r="J14" s="2" t="str">
        <x:v>无记录</x:v>
      </x:c>
      <x:c r="K14" s="2" t="str">
        <x:v>not_collected</x:v>
      </x:c>
      <x:c r="L14" s="2" t="str">
        <x:v>not_run</x:v>
      </x:c>
      <x:c r="M14" s="11" t="n">
        <x:v>0</x:v>
      </x:c>
      <x:c r="N14" s="11" t="n">
        <x:v>0</x:v>
      </x:c>
      <x:c r="O14" s="12"/>
      <x:c r="P14" s="9" t="str">
        <x:v>ConnectionError: ('Connection aborted.', ConnectionResetError(104, 'Connection reset by peer'))</x:v>
      </x:c>
      <x:c r="Q14" s="9" t="str">
        <x:v>task_output-wsl/lite-baseline-001/instances/django__django-10924/attempt-0001/state.json</x:v>
      </x:c>
      <x:c r="R14" s="2" t="n">
        <x:v>0</x:v>
      </x:c>
    </x:row>
    <x:row r="15" ht="44" customHeight="1">
      <x:c r="A15" s="2" t="str">
        <x:v>django__django-10924</x:v>
      </x:c>
      <x:c r="B15" s="2" t="str">
        <x:v>django/django</x:v>
      </x:c>
      <x:c r="C15" s="2" t="str">
        <x:v>attempt-0002</x:v>
      </x:c>
      <x:c r="D15" s="2" t="str">
        <x:v>resolved</x:v>
      </x:c>
      <x:c r="E15" s="2" t="str">
        <x:v>finished</x:v>
      </x:c>
      <x:c r="F15" s="2" t="str">
        <x:v>completed</x:v>
      </x:c>
      <x:c r="G15" s="13" t="n">
        <x:v>0</x:v>
      </x:c>
      <x:c r="H15" s="13" t="n">
        <x:v>1</x:v>
      </x:c>
      <x:c r="I15" s="13" t="n">
        <x:v>1</x:v>
      </x:c>
      <x:c r="J15" s="2" t="str">
        <x:v>通过</x:v>
      </x:c>
      <x:c r="K15" s="2" t="str">
        <x:v>nonempty</x:v>
      </x:c>
      <x:c r="L15" s="2" t="str">
        <x:v>resolved</x:v>
      </x:c>
      <x:c r="M15" s="11" t="n">
        <x:v>24</x:v>
      </x:c>
      <x:c r="N15" s="11" t="n">
        <x:v>263749</x:v>
      </x:c>
      <x:c r="O15" s="12" t="n">
        <x:v>52.325</x:v>
      </x:c>
      <x:c r="P15" s="9" t="str"/>
      <x:c r="Q15" s="9" t="str">
        <x:v>task_output-wsl/lite-baseline-001/instances/django__django-10924/attempt-0002/state.json</x:v>
      </x:c>
      <x:c r="R15" s="2" t="n">
        <x:v>1</x:v>
      </x:c>
    </x:row>
    <x:row r="16" ht="44" customHeight="1">
      <x:c r="A16" s="2" t="str">
        <x:v>django__django-11001</x:v>
      </x:c>
      <x:c r="B16" s="2" t="str">
        <x:v>django/django</x:v>
      </x:c>
      <x:c r="C16" s="2" t="str">
        <x:v>attempt-0001</x:v>
      </x:c>
      <x:c r="D16" s="2" t="str">
        <x:v>error</x:v>
      </x:c>
      <x:c r="E16" s="2" t="str">
        <x:v>image</x:v>
      </x:c>
      <x:c r="F16" s="2" t="str">
        <x:v>未启动</x:v>
      </x:c>
      <x:c r="G16" s="13" t="n">
        <x:v>1</x:v>
      </x:c>
      <x:c r="H16" s="13" t="n">
        <x:v>0</x:v>
      </x:c>
      <x:c r="I16" s="13" t="n">
        <x:v>0</x:v>
      </x:c>
      <x:c r="J16" s="2" t="str">
        <x:v>无记录</x:v>
      </x:c>
      <x:c r="K16" s="2" t="str">
        <x:v>not_collected</x:v>
      </x:c>
      <x:c r="L16" s="2" t="str">
        <x:v>not_run</x:v>
      </x:c>
      <x:c r="M16" s="11" t="n">
        <x:v>0</x:v>
      </x:c>
      <x:c r="N16" s="11" t="n">
        <x:v>0</x:v>
      </x:c>
      <x:c r="O16" s="12"/>
      <x:c r="P16" s="9" t="str">
        <x:v>ConnectionError: ('Connection aborted.', ConnectionResetError(104, 'Connection reset by peer'))</x:v>
      </x:c>
      <x:c r="Q16" s="9" t="str">
        <x:v>task_output-wsl/lite-baseline-001/instances/django__django-11001/attempt-0001/state.json</x:v>
      </x:c>
      <x:c r="R16" s="2" t="n">
        <x:v>0</x:v>
      </x:c>
    </x:row>
    <x:row r="17" ht="44" customHeight="1">
      <x:c r="A17" s="2" t="str">
        <x:v>django__django-11001</x:v>
      </x:c>
      <x:c r="B17" s="2" t="str">
        <x:v>django/django</x:v>
      </x:c>
      <x:c r="C17" s="2" t="str">
        <x:v>attempt-0002</x:v>
      </x:c>
      <x:c r="D17" s="2" t="str">
        <x:v>resolved</x:v>
      </x:c>
      <x:c r="E17" s="2" t="str">
        <x:v>finished</x:v>
      </x:c>
      <x:c r="F17" s="2" t="str">
        <x:v>completed</x:v>
      </x:c>
      <x:c r="G17" s="13" t="n">
        <x:v>0</x:v>
      </x:c>
      <x:c r="H17" s="13" t="n">
        <x:v>1</x:v>
      </x:c>
      <x:c r="I17" s="13" t="n">
        <x:v>1</x:v>
      </x:c>
      <x:c r="J17" s="2" t="str">
        <x:v>通过</x:v>
      </x:c>
      <x:c r="K17" s="2" t="str">
        <x:v>nonempty</x:v>
      </x:c>
      <x:c r="L17" s="2" t="str">
        <x:v>resolved</x:v>
      </x:c>
      <x:c r="M17" s="11" t="n">
        <x:v>14</x:v>
      </x:c>
      <x:c r="N17" s="11" t="n">
        <x:v>139504</x:v>
      </x:c>
      <x:c r="O17" s="12" t="n">
        <x:v>41.948</x:v>
      </x:c>
      <x:c r="P17" s="9" t="str"/>
      <x:c r="Q17" s="9" t="str">
        <x:v>task_output-wsl/lite-baseline-001/instances/django__django-11001/attempt-0002/state.json</x:v>
      </x:c>
      <x:c r="R17" s="2" t="n">
        <x:v>1</x:v>
      </x:c>
    </x:row>
    <x:row r="18" ht="44" customHeight="1">
      <x:c r="A18" s="2" t="str">
        <x:v>django__django-11019</x:v>
      </x:c>
      <x:c r="B18" s="2" t="str">
        <x:v>django/django</x:v>
      </x:c>
      <x:c r="C18" s="2" t="str">
        <x:v>attempt-0001</x:v>
      </x:c>
      <x:c r="D18" s="2" t="str">
        <x:v>error</x:v>
      </x:c>
      <x:c r="E18" s="2" t="str">
        <x:v>image</x:v>
      </x:c>
      <x:c r="F18" s="2" t="str">
        <x:v>未启动</x:v>
      </x:c>
      <x:c r="G18" s="13" t="n">
        <x:v>1</x:v>
      </x:c>
      <x:c r="H18" s="13" t="n">
        <x:v>0</x:v>
      </x:c>
      <x:c r="I18" s="13" t="n">
        <x:v>0</x:v>
      </x:c>
      <x:c r="J18" s="2" t="str">
        <x:v>无记录</x:v>
      </x:c>
      <x:c r="K18" s="2" t="str">
        <x:v>not_collected</x:v>
      </x:c>
      <x:c r="L18" s="2" t="str">
        <x:v>not_run</x:v>
      </x:c>
      <x:c r="M18" s="11" t="n">
        <x:v>0</x:v>
      </x:c>
      <x:c r="N18" s="11" t="n">
        <x:v>0</x:v>
      </x:c>
      <x:c r="O18" s="12"/>
      <x:c r="P18" s="9" t="str">
        <x:v>ConnectionError: ('Connection aborted.', ConnectionResetError(104, 'Connection reset by peer'))</x:v>
      </x:c>
      <x:c r="Q18" s="9" t="str">
        <x:v>task_output-wsl/lite-baseline-001/instances/django__django-11019/attempt-0001/state.json</x:v>
      </x:c>
      <x:c r="R18" s="2" t="n">
        <x:v>0</x:v>
      </x:c>
    </x:row>
    <x:row r="19" ht="44" customHeight="1">
      <x:c r="A19" s="2" t="str">
        <x:v>django__django-11019</x:v>
      </x:c>
      <x:c r="B19" s="2" t="str">
        <x:v>django/django</x:v>
      </x:c>
      <x:c r="C19" s="2" t="str">
        <x:v>attempt-0002</x:v>
      </x:c>
      <x:c r="D19" s="2" t="str">
        <x:v>resolved</x:v>
      </x:c>
      <x:c r="E19" s="2" t="str">
        <x:v>finished</x:v>
      </x:c>
      <x:c r="F19" s="2" t="str">
        <x:v>completed</x:v>
      </x:c>
      <x:c r="G19" s="13" t="n">
        <x:v>0</x:v>
      </x:c>
      <x:c r="H19" s="13" t="n">
        <x:v>1</x:v>
      </x:c>
      <x:c r="I19" s="13" t="n">
        <x:v>1</x:v>
      </x:c>
      <x:c r="J19" s="2" t="str">
        <x:v>通过</x:v>
      </x:c>
      <x:c r="K19" s="2" t="str">
        <x:v>nonempty</x:v>
      </x:c>
      <x:c r="L19" s="2" t="str">
        <x:v>resolved</x:v>
      </x:c>
      <x:c r="M19" s="11" t="n">
        <x:v>26</x:v>
      </x:c>
      <x:c r="N19" s="11" t="n">
        <x:v>278680</x:v>
      </x:c>
      <x:c r="O19" s="12" t="n">
        <x:v>68.676</x:v>
      </x:c>
      <x:c r="P19" s="9" t="str"/>
      <x:c r="Q19" s="9" t="str">
        <x:v>task_output-wsl/lite-baseline-001/instances/django__django-11019/attempt-0002/state.json</x:v>
      </x:c>
      <x:c r="R19" s="2" t="n">
        <x:v>1</x:v>
      </x:c>
    </x:row>
    <x:row r="20" ht="44" customHeight="1">
      <x:c r="A20" s="2" t="str">
        <x:v>django__django-11039</x:v>
      </x:c>
      <x:c r="B20" s="2" t="str">
        <x:v>django/django</x:v>
      </x:c>
      <x:c r="C20" s="2" t="str">
        <x:v>attempt-0001</x:v>
      </x:c>
      <x:c r="D20" s="2" t="str">
        <x:v>error</x:v>
      </x:c>
      <x:c r="E20" s="2" t="str">
        <x:v>image</x:v>
      </x:c>
      <x:c r="F20" s="2" t="str">
        <x:v>未启动</x:v>
      </x:c>
      <x:c r="G20" s="13" t="n">
        <x:v>1</x:v>
      </x:c>
      <x:c r="H20" s="13" t="n">
        <x:v>0</x:v>
      </x:c>
      <x:c r="I20" s="13" t="n">
        <x:v>0</x:v>
      </x:c>
      <x:c r="J20" s="2" t="str">
        <x:v>无记录</x:v>
      </x:c>
      <x:c r="K20" s="2" t="str">
        <x:v>not_collected</x:v>
      </x:c>
      <x:c r="L20" s="2" t="str">
        <x:v>not_run</x:v>
      </x:c>
      <x:c r="M20" s="11" t="n">
        <x:v>0</x:v>
      </x:c>
      <x:c r="N20" s="11" t="n">
        <x:v>0</x:v>
      </x:c>
      <x:c r="O20" s="12"/>
      <x:c r="P20" s="9" t="str">
        <x:v>ConnectionError: ('Connection aborted.', ConnectionResetError(104, 'Connection reset by peer'))</x:v>
      </x:c>
      <x:c r="Q20" s="9" t="str">
        <x:v>task_output-wsl/lite-baseline-001/instances/django__django-11039/attempt-0001/state.json</x:v>
      </x:c>
      <x:c r="R20" s="2" t="n">
        <x:v>0</x:v>
      </x:c>
    </x:row>
    <x:row r="21" ht="44" customHeight="1">
      <x:c r="A21" s="2" t="str">
        <x:v>django__django-11039</x:v>
      </x:c>
      <x:c r="B21" s="2" t="str">
        <x:v>django/django</x:v>
      </x:c>
      <x:c r="C21" s="2" t="str">
        <x:v>attempt-0002</x:v>
      </x:c>
      <x:c r="D21" s="2" t="str">
        <x:v>resolved</x:v>
      </x:c>
      <x:c r="E21" s="2" t="str">
        <x:v>finished</x:v>
      </x:c>
      <x:c r="F21" s="2" t="str">
        <x:v>completed</x:v>
      </x:c>
      <x:c r="G21" s="13" t="n">
        <x:v>0</x:v>
      </x:c>
      <x:c r="H21" s="13" t="n">
        <x:v>1</x:v>
      </x:c>
      <x:c r="I21" s="13" t="n">
        <x:v>1</x:v>
      </x:c>
      <x:c r="J21" s="2" t="str">
        <x:v>通过</x:v>
      </x:c>
      <x:c r="K21" s="2" t="str">
        <x:v>nonempty</x:v>
      </x:c>
      <x:c r="L21" s="2" t="str">
        <x:v>resolved</x:v>
      </x:c>
      <x:c r="M21" s="11" t="n">
        <x:v>8</x:v>
      </x:c>
      <x:c r="N21" s="11" t="n">
        <x:v>34165</x:v>
      </x:c>
      <x:c r="O21" s="12" t="n">
        <x:v>11.895</x:v>
      </x:c>
      <x:c r="P21" s="9" t="str"/>
      <x:c r="Q21" s="9" t="str">
        <x:v>task_output-wsl/lite-baseline-001/instances/django__django-11039/attempt-0002/state.json</x:v>
      </x:c>
      <x:c r="R21" s="2" t="n">
        <x:v>1</x:v>
      </x:c>
    </x:row>
    <x:row r="22" ht="44" customHeight="1">
      <x:c r="A22" s="2" t="str">
        <x:v>django__django-11049</x:v>
      </x:c>
      <x:c r="B22" s="2" t="str">
        <x:v>django/django</x:v>
      </x:c>
      <x:c r="C22" s="2" t="str">
        <x:v>attempt-0001</x:v>
      </x:c>
      <x:c r="D22" s="2" t="str">
        <x:v>error</x:v>
      </x:c>
      <x:c r="E22" s="2" t="str">
        <x:v>image</x:v>
      </x:c>
      <x:c r="F22" s="2" t="str">
        <x:v>未启动</x:v>
      </x:c>
      <x:c r="G22" s="13" t="n">
        <x:v>1</x:v>
      </x:c>
      <x:c r="H22" s="13" t="n">
        <x:v>0</x:v>
      </x:c>
      <x:c r="I22" s="13" t="n">
        <x:v>0</x:v>
      </x:c>
      <x:c r="J22" s="2" t="str">
        <x:v>无记录</x:v>
      </x:c>
      <x:c r="K22" s="2" t="str">
        <x:v>not_collected</x:v>
      </x:c>
      <x:c r="L22" s="2" t="str">
        <x:v>not_run</x:v>
      </x:c>
      <x:c r="M22" s="11" t="n">
        <x:v>0</x:v>
      </x:c>
      <x:c r="N22" s="11" t="n">
        <x:v>0</x:v>
      </x:c>
      <x:c r="O22" s="12"/>
      <x:c r="P22" s="9" t="str">
        <x:v>ConnectionError: ('Connection aborted.', ConnectionResetError(104, 'Connection reset by peer'))</x:v>
      </x:c>
      <x:c r="Q22" s="9" t="str">
        <x:v>task_output-wsl/lite-baseline-001/instances/django__django-11049/attempt-0001/state.json</x:v>
      </x:c>
      <x:c r="R22" s="2" t="n">
        <x:v>0</x:v>
      </x:c>
    </x:row>
    <x:row r="23" ht="44" customHeight="1">
      <x:c r="A23" s="2" t="str">
        <x:v>django__django-11049</x:v>
      </x:c>
      <x:c r="B23" s="2" t="str">
        <x:v>django/django</x:v>
      </x:c>
      <x:c r="C23" s="2" t="str">
        <x:v>attempt-0002</x:v>
      </x:c>
      <x:c r="D23" s="2" t="str">
        <x:v>resolved</x:v>
      </x:c>
      <x:c r="E23" s="2" t="str">
        <x:v>finished</x:v>
      </x:c>
      <x:c r="F23" s="2" t="str">
        <x:v>completed</x:v>
      </x:c>
      <x:c r="G23" s="13" t="n">
        <x:v>0</x:v>
      </x:c>
      <x:c r="H23" s="13" t="n">
        <x:v>1</x:v>
      </x:c>
      <x:c r="I23" s="13" t="n">
        <x:v>1</x:v>
      </x:c>
      <x:c r="J23" s="2" t="str">
        <x:v>通过</x:v>
      </x:c>
      <x:c r="K23" s="2" t="str">
        <x:v>nonempty</x:v>
      </x:c>
      <x:c r="L23" s="2" t="str">
        <x:v>resolved</x:v>
      </x:c>
      <x:c r="M23" s="11" t="n">
        <x:v>19</x:v>
      </x:c>
      <x:c r="N23" s="11" t="n">
        <x:v>186708</x:v>
      </x:c>
      <x:c r="O23" s="12" t="n">
        <x:v>55.38</x:v>
      </x:c>
      <x:c r="P23" s="9" t="str"/>
      <x:c r="Q23" s="9" t="str">
        <x:v>task_output-wsl/lite-baseline-001/instances/django__django-11049/attempt-0002/state.json</x:v>
      </x:c>
      <x:c r="R23" s="2" t="n">
        <x:v>1</x:v>
      </x:c>
    </x:row>
    <x:row r="24" ht="44" customHeight="1">
      <x:c r="A24" s="2" t="str">
        <x:v>django__django-11099</x:v>
      </x:c>
      <x:c r="B24" s="2" t="str">
        <x:v>django/django</x:v>
      </x:c>
      <x:c r="C24" s="2" t="str">
        <x:v>attempt-0001</x:v>
      </x:c>
      <x:c r="D24" s="2" t="str">
        <x:v>error</x:v>
      </x:c>
      <x:c r="E24" s="2" t="str">
        <x:v>image</x:v>
      </x:c>
      <x:c r="F24" s="2" t="str">
        <x:v>未启动</x:v>
      </x:c>
      <x:c r="G24" s="13" t="n">
        <x:v>1</x:v>
      </x:c>
      <x:c r="H24" s="13" t="n">
        <x:v>0</x:v>
      </x:c>
      <x:c r="I24" s="13" t="n">
        <x:v>0</x:v>
      </x:c>
      <x:c r="J24" s="2" t="str">
        <x:v>无记录</x:v>
      </x:c>
      <x:c r="K24" s="2" t="str">
        <x:v>not_collected</x:v>
      </x:c>
      <x:c r="L24" s="2" t="str">
        <x:v>not_run</x:v>
      </x:c>
      <x:c r="M24" s="11" t="n">
        <x:v>0</x:v>
      </x:c>
      <x:c r="N24" s="11" t="n">
        <x:v>0</x:v>
      </x:c>
      <x:c r="O24" s="12"/>
      <x:c r="P24" s="9" t="str">
        <x:v>ConnectionError: ('Connection aborted.', ConnectionResetError(104, 'Connection reset by peer'))</x:v>
      </x:c>
      <x:c r="Q24" s="9" t="str">
        <x:v>task_output-wsl/lite-baseline-001/instances/django__django-11099/attempt-0001/state.json</x:v>
      </x:c>
      <x:c r="R24" s="2" t="n">
        <x:v>0</x:v>
      </x:c>
    </x:row>
    <x:row r="25" ht="44" customHeight="1">
      <x:c r="A25" s="2" t="str">
        <x:v>django__django-11099</x:v>
      </x:c>
      <x:c r="B25" s="2" t="str">
        <x:v>django/django</x:v>
      </x:c>
      <x:c r="C25" s="2" t="str">
        <x:v>attempt-0002</x:v>
      </x:c>
      <x:c r="D25" s="2" t="str">
        <x:v>resolved</x:v>
      </x:c>
      <x:c r="E25" s="2" t="str">
        <x:v>finished</x:v>
      </x:c>
      <x:c r="F25" s="2" t="str">
        <x:v>completed</x:v>
      </x:c>
      <x:c r="G25" s="13" t="n">
        <x:v>0</x:v>
      </x:c>
      <x:c r="H25" s="13" t="n">
        <x:v>1</x:v>
      </x:c>
      <x:c r="I25" s="13" t="n">
        <x:v>1</x:v>
      </x:c>
      <x:c r="J25" s="2" t="str">
        <x:v>通过</x:v>
      </x:c>
      <x:c r="K25" s="2" t="str">
        <x:v>nonempty</x:v>
      </x:c>
      <x:c r="L25" s="2" t="str">
        <x:v>resolved</x:v>
      </x:c>
      <x:c r="M25" s="11" t="n">
        <x:v>6</x:v>
      </x:c>
      <x:c r="N25" s="11" t="n">
        <x:v>22763</x:v>
      </x:c>
      <x:c r="O25" s="12" t="n">
        <x:v>10.997</x:v>
      </x:c>
      <x:c r="P25" s="9" t="str"/>
      <x:c r="Q25" s="9" t="str">
        <x:v>task_output-wsl/lite-baseline-001/instances/django__django-11099/attempt-0002/state.json</x:v>
      </x:c>
      <x:c r="R25" s="2" t="n">
        <x:v>1</x:v>
      </x:c>
    </x:row>
    <x:row r="26" ht="44" customHeight="1">
      <x:c r="A26" s="2" t="str">
        <x:v>django__django-11133</x:v>
      </x:c>
      <x:c r="B26" s="2" t="str">
        <x:v>django/django</x:v>
      </x:c>
      <x:c r="C26" s="2" t="str">
        <x:v>attempt-0001</x:v>
      </x:c>
      <x:c r="D26" s="2" t="str">
        <x:v>error</x:v>
      </x:c>
      <x:c r="E26" s="2" t="str">
        <x:v>image</x:v>
      </x:c>
      <x:c r="F26" s="2" t="str">
        <x:v>未启动</x:v>
      </x:c>
      <x:c r="G26" s="13" t="n">
        <x:v>1</x:v>
      </x:c>
      <x:c r="H26" s="13" t="n">
        <x:v>0</x:v>
      </x:c>
      <x:c r="I26" s="13" t="n">
        <x:v>0</x:v>
      </x:c>
      <x:c r="J26" s="2" t="str">
        <x:v>无记录</x:v>
      </x:c>
      <x:c r="K26" s="2" t="str">
        <x:v>not_collected</x:v>
      </x:c>
      <x:c r="L26" s="2" t="str">
        <x:v>not_run</x:v>
      </x:c>
      <x:c r="M26" s="11" t="n">
        <x:v>0</x:v>
      </x:c>
      <x:c r="N26" s="11" t="n">
        <x:v>0</x:v>
      </x:c>
      <x:c r="O26" s="12"/>
      <x:c r="P26" s="9" t="str">
        <x:v>ConnectionError: ('Connection aborted.', ConnectionResetError(104, 'Connection reset by peer'))</x:v>
      </x:c>
      <x:c r="Q26" s="9" t="str">
        <x:v>task_output-wsl/lite-baseline-001/instances/django__django-11133/attempt-0001/state.json</x:v>
      </x:c>
      <x:c r="R26" s="2" t="n">
        <x:v>0</x:v>
      </x:c>
    </x:row>
    <x:row r="27" ht="44" customHeight="1">
      <x:c r="A27" s="2" t="str">
        <x:v>django__django-11133</x:v>
      </x:c>
      <x:c r="B27" s="2" t="str">
        <x:v>django/django</x:v>
      </x:c>
      <x:c r="C27" s="2" t="str">
        <x:v>attempt-0002</x:v>
      </x:c>
      <x:c r="D27" s="2" t="str">
        <x:v>resolved</x:v>
      </x:c>
      <x:c r="E27" s="2" t="str">
        <x:v>finished</x:v>
      </x:c>
      <x:c r="F27" s="2" t="str">
        <x:v>completed</x:v>
      </x:c>
      <x:c r="G27" s="13" t="n">
        <x:v>0</x:v>
      </x:c>
      <x:c r="H27" s="13" t="n">
        <x:v>1</x:v>
      </x:c>
      <x:c r="I27" s="13" t="n">
        <x:v>1</x:v>
      </x:c>
      <x:c r="J27" s="2" t="str">
        <x:v>通过</x:v>
      </x:c>
      <x:c r="K27" s="2" t="str">
        <x:v>nonempty</x:v>
      </x:c>
      <x:c r="L27" s="2" t="str">
        <x:v>resolved</x:v>
      </x:c>
      <x:c r="M27" s="11" t="n">
        <x:v>7</x:v>
      </x:c>
      <x:c r="N27" s="11" t="n">
        <x:v>51359</x:v>
      </x:c>
      <x:c r="O27" s="12" t="n">
        <x:v>17.935</x:v>
      </x:c>
      <x:c r="P27" s="9" t="str"/>
      <x:c r="Q27" s="9" t="str">
        <x:v>task_output-wsl/lite-baseline-001/instances/django__django-11133/attempt-0002/state.json</x:v>
      </x:c>
      <x:c r="R27" s="2" t="n">
        <x:v>1</x:v>
      </x:c>
    </x:row>
    <x:row r="28" ht="44" customHeight="1">
      <x:c r="A28" s="2" t="str">
        <x:v>django__django-11179</x:v>
      </x:c>
      <x:c r="B28" s="2" t="str">
        <x:v>django/django</x:v>
      </x:c>
      <x:c r="C28" s="2" t="str">
        <x:v>attempt-0001</x:v>
      </x:c>
      <x:c r="D28" s="2" t="str">
        <x:v>error</x:v>
      </x:c>
      <x:c r="E28" s="2" t="str">
        <x:v>image</x:v>
      </x:c>
      <x:c r="F28" s="2" t="str">
        <x:v>未启动</x:v>
      </x:c>
      <x:c r="G28" s="13" t="n">
        <x:v>1</x:v>
      </x:c>
      <x:c r="H28" s="13" t="n">
        <x:v>0</x:v>
      </x:c>
      <x:c r="I28" s="13" t="n">
        <x:v>0</x:v>
      </x:c>
      <x:c r="J28" s="2" t="str">
        <x:v>无记录</x:v>
      </x:c>
      <x:c r="K28" s="2" t="str">
        <x:v>not_collected</x:v>
      </x:c>
      <x:c r="L28" s="2" t="str">
        <x:v>not_run</x:v>
      </x:c>
      <x:c r="M28" s="11" t="n">
        <x:v>0</x:v>
      </x:c>
      <x:c r="N28" s="11" t="n">
        <x:v>0</x:v>
      </x:c>
      <x:c r="O28" s="12"/>
      <x:c r="P28" s="9" t="str">
        <x:v>ConnectionError: ('Connection aborted.', ConnectionResetError(104, 'Connection reset by peer'))</x:v>
      </x:c>
      <x:c r="Q28" s="9" t="str">
        <x:v>task_output-wsl/lite-baseline-001/instances/django__django-11179/attempt-0001/state.json</x:v>
      </x:c>
      <x:c r="R28" s="2" t="n">
        <x:v>0</x:v>
      </x:c>
    </x:row>
    <x:row r="29" ht="44" customHeight="1">
      <x:c r="A29" s="2" t="str">
        <x:v>django__django-11179</x:v>
      </x:c>
      <x:c r="B29" s="2" t="str">
        <x:v>django/django</x:v>
      </x:c>
      <x:c r="C29" s="2" t="str">
        <x:v>attempt-0002</x:v>
      </x:c>
      <x:c r="D29" s="2" t="str">
        <x:v>resolved</x:v>
      </x:c>
      <x:c r="E29" s="2" t="str">
        <x:v>finished</x:v>
      </x:c>
      <x:c r="F29" s="2" t="str">
        <x:v>completed</x:v>
      </x:c>
      <x:c r="G29" s="13" t="n">
        <x:v>0</x:v>
      </x:c>
      <x:c r="H29" s="13" t="n">
        <x:v>1</x:v>
      </x:c>
      <x:c r="I29" s="13" t="n">
        <x:v>1</x:v>
      </x:c>
      <x:c r="J29" s="2" t="str">
        <x:v>通过</x:v>
      </x:c>
      <x:c r="K29" s="2" t="str">
        <x:v>nonempty</x:v>
      </x:c>
      <x:c r="L29" s="2" t="str">
        <x:v>resolved</x:v>
      </x:c>
      <x:c r="M29" s="11" t="n">
        <x:v>9</x:v>
      </x:c>
      <x:c r="N29" s="11" t="n">
        <x:v>55632</x:v>
      </x:c>
      <x:c r="O29" s="12" t="n">
        <x:v>19.849</x:v>
      </x:c>
      <x:c r="P29" s="9" t="str"/>
      <x:c r="Q29" s="9" t="str">
        <x:v>task_output-wsl/lite-baseline-001/instances/django__django-11179/attempt-0002/state.json</x:v>
      </x:c>
      <x:c r="R29" s="2" t="n">
        <x:v>1</x:v>
      </x:c>
    </x:row>
    <x:row r="30" ht="44" customHeight="1">
      <x:c r="A30" s="2" t="str">
        <x:v>django__django-11283</x:v>
      </x:c>
      <x:c r="B30" s="2" t="str">
        <x:v>django/django</x:v>
      </x:c>
      <x:c r="C30" s="2" t="str">
        <x:v>attempt-0001</x:v>
      </x:c>
      <x:c r="D30" s="2" t="str">
        <x:v>resolved</x:v>
      </x:c>
      <x:c r="E30" s="2" t="str">
        <x:v>finished</x:v>
      </x:c>
      <x:c r="F30" s="2" t="str">
        <x:v>completed</x:v>
      </x:c>
      <x:c r="G30" s="13" t="n">
        <x:v>1</x:v>
      </x:c>
      <x:c r="H30" s="13" t="n">
        <x:v>1</x:v>
      </x:c>
      <x:c r="I30" s="13" t="n">
        <x:v>1</x:v>
      </x:c>
      <x:c r="J30" s="2" t="str">
        <x:v>通过</x:v>
      </x:c>
      <x:c r="K30" s="2" t="str">
        <x:v>nonempty</x:v>
      </x:c>
      <x:c r="L30" s="2" t="str">
        <x:v>resolved</x:v>
      </x:c>
      <x:c r="M30" s="11" t="n">
        <x:v>28</x:v>
      </x:c>
      <x:c r="N30" s="11" t="n">
        <x:v>277111</x:v>
      </x:c>
      <x:c r="O30" s="12" t="n">
        <x:v>90.979</x:v>
      </x:c>
      <x:c r="P30" s="9" t="str"/>
      <x:c r="Q30" s="9" t="str">
        <x:v>task_output-wsl/lite-baseline-001/instances/django__django-11283/attempt-0001/state.json</x:v>
      </x:c>
      <x:c r="R30" s="2" t="n">
        <x:v>1</x:v>
      </x:c>
    </x:row>
    <x:row r="31" ht="44" customHeight="1">
      <x:c r="A31" s="2" t="str">
        <x:v>django__django-11422</x:v>
      </x:c>
      <x:c r="B31" s="2" t="str">
        <x:v>django/django</x:v>
      </x:c>
      <x:c r="C31" s="2" t="str">
        <x:v>attempt-0001</x:v>
      </x:c>
      <x:c r="D31" s="2" t="str">
        <x:v>error</x:v>
      </x:c>
      <x:c r="E31" s="2" t="str">
        <x:v>gold</x:v>
      </x:c>
      <x:c r="F31" s="2" t="str">
        <x:v>未启动</x:v>
      </x:c>
      <x:c r="G31" s="13" t="n">
        <x:v>1</x:v>
      </x:c>
      <x:c r="H31" s="13" t="n">
        <x:v>0</x:v>
      </x:c>
      <x:c r="I31" s="13" t="n">
        <x:v>0</x:v>
      </x:c>
      <x:c r="J31" s="2" t="str">
        <x:v>无记录</x:v>
      </x:c>
      <x:c r="K31" s="2" t="str">
        <x:v>not_collected</x:v>
      </x:c>
      <x:c r="L31" s="2" t="str">
        <x:v>not_run</x:v>
      </x:c>
      <x:c r="M31" s="11" t="n">
        <x:v>0</x:v>
      </x:c>
      <x:c r="N31" s="11" t="n">
        <x:v>0</x:v>
      </x:c>
      <x:c r="O31" s="12"/>
      <x:c r="P31" s="9" t="str">
        <x:v>RuntimeError: Official evaluation produced no report; see gold/7b16dcb505/harness.log.</x:v>
      </x:c>
      <x:c r="Q31" s="9" t="str">
        <x:v>task_output-wsl/lite-baseline-001/instances/django__django-11422/attempt-0001/state.json</x:v>
      </x:c>
      <x:c r="R31" s="2" t="n">
        <x:v>0</x:v>
      </x:c>
    </x:row>
    <x:row r="32" ht="44" customHeight="1">
      <x:c r="A32" s="2" t="str">
        <x:v>django__django-11422</x:v>
      </x:c>
      <x:c r="B32" s="2" t="str">
        <x:v>django/django</x:v>
      </x:c>
      <x:c r="C32" s="2" t="str">
        <x:v>attempt-0002</x:v>
      </x:c>
      <x:c r="D32" s="2" t="str">
        <x:v>resolved</x:v>
      </x:c>
      <x:c r="E32" s="2" t="str">
        <x:v>finished</x:v>
      </x:c>
      <x:c r="F32" s="2" t="str">
        <x:v>completed</x:v>
      </x:c>
      <x:c r="G32" s="13" t="n">
        <x:v>0</x:v>
      </x:c>
      <x:c r="H32" s="13" t="n">
        <x:v>1</x:v>
      </x:c>
      <x:c r="I32" s="13" t="n">
        <x:v>1</x:v>
      </x:c>
      <x:c r="J32" s="2" t="str">
        <x:v>通过</x:v>
      </x:c>
      <x:c r="K32" s="2" t="str">
        <x:v>nonempty</x:v>
      </x:c>
      <x:c r="L32" s="2" t="str">
        <x:v>resolved</x:v>
      </x:c>
      <x:c r="M32" s="11" t="n">
        <x:v>29</x:v>
      </x:c>
      <x:c r="N32" s="11" t="n">
        <x:v>321773</x:v>
      </x:c>
      <x:c r="O32" s="12" t="n">
        <x:v>72.508</x:v>
      </x:c>
      <x:c r="P32" s="9" t="str"/>
      <x:c r="Q32" s="9" t="str">
        <x:v>task_output-wsl/lite-baseline-001/instances/django__django-11422/attempt-0002/state.json</x:v>
      </x:c>
      <x:c r="R32" s="2" t="n">
        <x:v>1</x:v>
      </x:c>
    </x:row>
    <x:row r="33" ht="44" customHeight="1">
      <x:c r="A33" s="2" t="str">
        <x:v>django__django-11564</x:v>
      </x:c>
      <x:c r="B33" s="2" t="str">
        <x:v>django/django</x:v>
      </x:c>
      <x:c r="C33" s="2" t="str">
        <x:v>attempt-0001</x:v>
      </x:c>
      <x:c r="D33" s="2" t="str">
        <x:v>error</x:v>
      </x:c>
      <x:c r="E33" s="2" t="str">
        <x:v>grading</x:v>
      </x:c>
      <x:c r="F33" s="2" t="str">
        <x:v>error</x:v>
      </x:c>
      <x:c r="G33" s="13" t="n">
        <x:v>1</x:v>
      </x:c>
      <x:c r="H33" s="13" t="n">
        <x:v>1</x:v>
      </x:c>
      <x:c r="I33" s="13" t="n">
        <x:v>1</x:v>
      </x:c>
      <x:c r="J33" s="2" t="str">
        <x:v>通过</x:v>
      </x:c>
      <x:c r="K33" s="2" t="str">
        <x:v>nonempty</x:v>
      </x:c>
      <x:c r="L33" s="2" t="str">
        <x:v>error</x:v>
      </x:c>
      <x:c r="M33" s="11" t="n">
        <x:v>21</x:v>
      </x:c>
      <x:c r="N33" s="11" t="n">
        <x:v>228541</x:v>
      </x:c>
      <x:c r="O33" s="12" t="n">
        <x:v>176.59</x:v>
      </x:c>
      <x:c r="P33" s="9" t="str">
        <x:v>peer closed connection without sending complete message body (incomplete chunked read)</x:v>
      </x:c>
      <x:c r="Q33" s="9" t="str">
        <x:v>task_output-wsl/lite-baseline-001/instances/django__django-11564/attempt-0001/state.json</x:v>
      </x:c>
      <x:c r="R33" s="2" t="n">
        <x:v>0</x:v>
      </x:c>
    </x:row>
    <x:row r="34" ht="44" customHeight="1">
      <x:c r="A34" s="2" t="str">
        <x:v>django__django-11564</x:v>
      </x:c>
      <x:c r="B34" s="2" t="str">
        <x:v>django/django</x:v>
      </x:c>
      <x:c r="C34" s="2" t="str">
        <x:v>attempt-0002</x:v>
      </x:c>
      <x:c r="D34" s="2" t="str">
        <x:v>empty_patch</x:v>
      </x:c>
      <x:c r="E34" s="2" t="str">
        <x:v>finished</x:v>
      </x:c>
      <x:c r="F34" s="2" t="str">
        <x:v>completed</x:v>
      </x:c>
      <x:c r="G34" s="13" t="n">
        <x:v>0</x:v>
      </x:c>
      <x:c r="H34" s="13" t="n">
        <x:v>0</x:v>
      </x:c>
      <x:c r="I34" s="13" t="n">
        <x:v>1</x:v>
      </x:c>
      <x:c r="J34" s="2" t="str">
        <x:v>通过</x:v>
      </x:c>
      <x:c r="K34" s="2" t="str">
        <x:v>empty</x:v>
      </x:c>
      <x:c r="L34" s="2" t="str">
        <x:v>not_run</x:v>
      </x:c>
      <x:c r="M34" s="11" t="n">
        <x:v>24</x:v>
      </x:c>
      <x:c r="N34" s="11" t="n">
        <x:v>271957</x:v>
      </x:c>
      <x:c r="O34" s="12" t="n">
        <x:v>93.524</x:v>
      </x:c>
      <x:c r="P34" s="9" t="str">
        <x:v>Runner collected no working-tree changes.</x:v>
      </x:c>
      <x:c r="Q34" s="9" t="str">
        <x:v>task_output-wsl/lite-baseline-001/instances/django__django-11564/attempt-0002/state.json</x:v>
      </x:c>
      <x:c r="R34" s="2" t="n">
        <x:v>1</x:v>
      </x:c>
    </x:row>
    <x:row r="35" ht="44" customHeight="1">
      <x:c r="A35" s="2" t="str">
        <x:v>django__django-11583</x:v>
      </x:c>
      <x:c r="B35" s="2" t="str">
        <x:v>django/django</x:v>
      </x:c>
      <x:c r="C35" s="2" t="str">
        <x:v>attempt-0001</x:v>
      </x:c>
      <x:c r="D35" s="2" t="str">
        <x:v>error</x:v>
      </x:c>
      <x:c r="E35" s="2" t="str">
        <x:v>image</x:v>
      </x:c>
      <x:c r="F35" s="2" t="str">
        <x:v>未启动</x:v>
      </x:c>
      <x:c r="G35" s="13" t="n">
        <x:v>1</x:v>
      </x:c>
      <x:c r="H35" s="13" t="n">
        <x:v>0</x:v>
      </x:c>
      <x:c r="I35" s="13" t="n">
        <x:v>0</x:v>
      </x:c>
      <x:c r="J35" s="2" t="str">
        <x:v>无记录</x:v>
      </x:c>
      <x:c r="K35" s="2" t="str">
        <x:v>not_collected</x:v>
      </x:c>
      <x:c r="L35" s="2" t="str">
        <x:v>not_run</x:v>
      </x:c>
      <x:c r="M35" s="11" t="n">
        <x:v>0</x:v>
      </x:c>
      <x:c r="N35" s="11" t="n">
        <x:v>0</x:v>
      </x:c>
      <x:c r="O35" s="12"/>
      <x:c r="P35" s="9" t="str">
        <x:v>ConnectionError: ('Connection aborted.', ConnectionResetError(104, 'Connection reset by peer'))</x:v>
      </x:c>
      <x:c r="Q35" s="9" t="str">
        <x:v>task_output-wsl/lite-baseline-001/instances/django__django-11583/attempt-0001/state.json</x:v>
      </x:c>
      <x:c r="R35" s="2" t="n">
        <x:v>0</x:v>
      </x:c>
    </x:row>
    <x:row r="36" ht="44" customHeight="1">
      <x:c r="A36" s="2" t="str">
        <x:v>django__django-11583</x:v>
      </x:c>
      <x:c r="B36" s="2" t="str">
        <x:v>django/django</x:v>
      </x:c>
      <x:c r="C36" s="2" t="str">
        <x:v>attempt-0002</x:v>
      </x:c>
      <x:c r="D36" s="2" t="str">
        <x:v>resolved</x:v>
      </x:c>
      <x:c r="E36" s="2" t="str">
        <x:v>finished</x:v>
      </x:c>
      <x:c r="F36" s="2" t="str">
        <x:v>completed</x:v>
      </x:c>
      <x:c r="G36" s="13" t="n">
        <x:v>0</x:v>
      </x:c>
      <x:c r="H36" s="13" t="n">
        <x:v>1</x:v>
      </x:c>
      <x:c r="I36" s="13" t="n">
        <x:v>1</x:v>
      </x:c>
      <x:c r="J36" s="2" t="str">
        <x:v>通过</x:v>
      </x:c>
      <x:c r="K36" s="2" t="str">
        <x:v>nonempty</x:v>
      </x:c>
      <x:c r="L36" s="2" t="str">
        <x:v>resolved</x:v>
      </x:c>
      <x:c r="M36" s="11" t="n">
        <x:v>14</x:v>
      </x:c>
      <x:c r="N36" s="11" t="n">
        <x:v>135863</x:v>
      </x:c>
      <x:c r="O36" s="12" t="n">
        <x:v>44.969</x:v>
      </x:c>
      <x:c r="P36" s="9" t="str"/>
      <x:c r="Q36" s="9" t="str">
        <x:v>task_output-wsl/lite-baseline-001/instances/django__django-11583/attempt-0002/state.json</x:v>
      </x:c>
      <x:c r="R36" s="2" t="n">
        <x:v>1</x:v>
      </x:c>
    </x:row>
    <x:row r="37" ht="44" customHeight="1">
      <x:c r="A37" s="2" t="str">
        <x:v>django__django-11620</x:v>
      </x:c>
      <x:c r="B37" s="2" t="str">
        <x:v>django/django</x:v>
      </x:c>
      <x:c r="C37" s="2" t="str">
        <x:v>attempt-0001</x:v>
      </x:c>
      <x:c r="D37" s="2" t="str">
        <x:v>error</x:v>
      </x:c>
      <x:c r="E37" s="2" t="str">
        <x:v>image</x:v>
      </x:c>
      <x:c r="F37" s="2" t="str">
        <x:v>未启动</x:v>
      </x:c>
      <x:c r="G37" s="13" t="n">
        <x:v>1</x:v>
      </x:c>
      <x:c r="H37" s="13" t="n">
        <x:v>0</x:v>
      </x:c>
      <x:c r="I37" s="13" t="n">
        <x:v>0</x:v>
      </x:c>
      <x:c r="J37" s="2" t="str">
        <x:v>无记录</x:v>
      </x:c>
      <x:c r="K37" s="2" t="str">
        <x:v>not_collected</x:v>
      </x:c>
      <x:c r="L37" s="2" t="str">
        <x:v>not_run</x:v>
      </x:c>
      <x:c r="M37" s="11" t="n">
        <x:v>0</x:v>
      </x:c>
      <x:c r="N37" s="11" t="n">
        <x:v>0</x:v>
      </x:c>
      <x:c r="O37" s="12"/>
      <x:c r="P37" s="9" t="str">
        <x:v>ConnectionError: ('Connection aborted.', ConnectionResetError(104, 'Connection reset by peer'))</x:v>
      </x:c>
      <x:c r="Q37" s="9" t="str">
        <x:v>task_output-wsl/lite-baseline-001/instances/django__django-11620/attempt-0001/state.json</x:v>
      </x:c>
      <x:c r="R37" s="2" t="n">
        <x:v>0</x:v>
      </x:c>
    </x:row>
    <x:row r="38" ht="44" customHeight="1">
      <x:c r="A38" s="2" t="str">
        <x:v>django__django-11620</x:v>
      </x:c>
      <x:c r="B38" s="2" t="str">
        <x:v>django/django</x:v>
      </x:c>
      <x:c r="C38" s="2" t="str">
        <x:v>attempt-0002</x:v>
      </x:c>
      <x:c r="D38" s="2" t="str">
        <x:v>resolved</x:v>
      </x:c>
      <x:c r="E38" s="2" t="str">
        <x:v>finished</x:v>
      </x:c>
      <x:c r="F38" s="2" t="str">
        <x:v>completed</x:v>
      </x:c>
      <x:c r="G38" s="13" t="n">
        <x:v>0</x:v>
      </x:c>
      <x:c r="H38" s="13" t="n">
        <x:v>1</x:v>
      </x:c>
      <x:c r="I38" s="13" t="n">
        <x:v>1</x:v>
      </x:c>
      <x:c r="J38" s="2" t="str">
        <x:v>通过</x:v>
      </x:c>
      <x:c r="K38" s="2" t="str">
        <x:v>nonempty</x:v>
      </x:c>
      <x:c r="L38" s="2" t="str">
        <x:v>resolved</x:v>
      </x:c>
      <x:c r="M38" s="11" t="n">
        <x:v>21</x:v>
      </x:c>
      <x:c r="N38" s="11" t="n">
        <x:v>213838</x:v>
      </x:c>
      <x:c r="O38" s="12" t="n">
        <x:v>49.573</x:v>
      </x:c>
      <x:c r="P38" s="9" t="str"/>
      <x:c r="Q38" s="9" t="str">
        <x:v>task_output-wsl/lite-baseline-001/instances/django__django-11620/attempt-0002/state.json</x:v>
      </x:c>
      <x:c r="R38" s="2" t="n">
        <x:v>1</x:v>
      </x:c>
    </x:row>
    <x:row r="39" ht="44" customHeight="1">
      <x:c r="A39" s="2" t="str">
        <x:v>django__django-11630</x:v>
      </x:c>
      <x:c r="B39" s="2" t="str">
        <x:v>django/django</x:v>
      </x:c>
      <x:c r="C39" s="2" t="str">
        <x:v>attempt-0001</x:v>
      </x:c>
      <x:c r="D39" s="2" t="str">
        <x:v>error</x:v>
      </x:c>
      <x:c r="E39" s="2" t="str">
        <x:v>image</x:v>
      </x:c>
      <x:c r="F39" s="2" t="str">
        <x:v>未启动</x:v>
      </x:c>
      <x:c r="G39" s="13" t="n">
        <x:v>1</x:v>
      </x:c>
      <x:c r="H39" s="13" t="n">
        <x:v>0</x:v>
      </x:c>
      <x:c r="I39" s="13" t="n">
        <x:v>0</x:v>
      </x:c>
      <x:c r="J39" s="2" t="str">
        <x:v>无记录</x:v>
      </x:c>
      <x:c r="K39" s="2" t="str">
        <x:v>not_collected</x:v>
      </x:c>
      <x:c r="L39" s="2" t="str">
        <x:v>not_run</x:v>
      </x:c>
      <x:c r="M39" s="11" t="n">
        <x:v>0</x:v>
      </x:c>
      <x:c r="N39" s="11" t="n">
        <x:v>0</x:v>
      </x:c>
      <x:c r="O39" s="12"/>
      <x:c r="P39" s="9" t="str">
        <x:v>ConnectionError: ('Connection aborted.', ConnectionResetError(104, 'Connection reset by peer'))</x:v>
      </x:c>
      <x:c r="Q39" s="9" t="str">
        <x:v>task_output-wsl/lite-baseline-001/instances/django__django-11630/attempt-0001/state.json</x:v>
      </x:c>
      <x:c r="R39" s="2" t="n">
        <x:v>0</x:v>
      </x:c>
    </x:row>
    <x:row r="40" ht="44" customHeight="1">
      <x:c r="A40" s="2" t="str">
        <x:v>django__django-11630</x:v>
      </x:c>
      <x:c r="B40" s="2" t="str">
        <x:v>django/django</x:v>
      </x:c>
      <x:c r="C40" s="2" t="str">
        <x:v>attempt-0002</x:v>
      </x:c>
      <x:c r="D40" s="2" t="str">
        <x:v>empty_patch</x:v>
      </x:c>
      <x:c r="E40" s="2" t="str">
        <x:v>finished</x:v>
      </x:c>
      <x:c r="F40" s="2" t="str">
        <x:v>completed</x:v>
      </x:c>
      <x:c r="G40" s="13" t="n">
        <x:v>0</x:v>
      </x:c>
      <x:c r="H40" s="13" t="n">
        <x:v>1</x:v>
      </x:c>
      <x:c r="I40" s="13" t="n">
        <x:v>1</x:v>
      </x:c>
      <x:c r="J40" s="2" t="str">
        <x:v>通过</x:v>
      </x:c>
      <x:c r="K40" s="2" t="str">
        <x:v>empty</x:v>
      </x:c>
      <x:c r="L40" s="2" t="str">
        <x:v>not_run</x:v>
      </x:c>
      <x:c r="M40" s="11" t="n">
        <x:v>34</x:v>
      </x:c>
      <x:c r="N40" s="11" t="n">
        <x:v>374324</x:v>
      </x:c>
      <x:c r="O40" s="12" t="n">
        <x:v>158.639</x:v>
      </x:c>
      <x:c r="P40" s="9" t="str">
        <x:v>Runner collected no working-tree changes.</x:v>
      </x:c>
      <x:c r="Q40" s="9" t="str">
        <x:v>task_output-wsl/lite-baseline-001/instances/django__django-11630/attempt-0002/state.json</x:v>
      </x:c>
      <x:c r="R40" s="2" t="n">
        <x:v>1</x:v>
      </x:c>
    </x:row>
    <x:row r="41" ht="44" customHeight="1">
      <x:c r="A41" s="2" t="str">
        <x:v>django__django-11742</x:v>
      </x:c>
      <x:c r="B41" s="2" t="str">
        <x:v>django/django</x:v>
      </x:c>
      <x:c r="C41" s="2" t="str">
        <x:v>attempt-0001</x:v>
      </x:c>
      <x:c r="D41" s="2" t="str">
        <x:v>empty_patch</x:v>
      </x:c>
      <x:c r="E41" s="2" t="str">
        <x:v>finished</x:v>
      </x:c>
      <x:c r="F41" s="2" t="str">
        <x:v>error</x:v>
      </x:c>
      <x:c r="G41" s="13" t="n">
        <x:v>1</x:v>
      </x:c>
      <x:c r="H41" s="13" t="n">
        <x:v>1</x:v>
      </x:c>
      <x:c r="I41" s="13" t="n">
        <x:v>1</x:v>
      </x:c>
      <x:c r="J41" s="2" t="str">
        <x:v>通过</x:v>
      </x:c>
      <x:c r="K41" s="2" t="str">
        <x:v>empty</x:v>
      </x:c>
      <x:c r="L41" s="2" t="str">
        <x:v>not_run</x:v>
      </x:c>
      <x:c r="M41" s="11" t="n">
        <x:v>8</x:v>
      </x:c>
      <x:c r="N41" s="11" t="n">
        <x:v>14321</x:v>
      </x:c>
      <x:c r="O41" s="12" t="n">
        <x:v>25.459</x:v>
      </x:c>
      <x:c r="P41" s="9" t="str">
        <x:v>peer closed connection without sending complete message body (incomplete chunked read)</x:v>
      </x:c>
      <x:c r="Q41" s="9" t="str">
        <x:v>task_output-wsl/lite-baseline-001/instances/django__django-11742/attempt-0001/state.json</x:v>
      </x:c>
      <x:c r="R41" s="2" t="n">
        <x:v>1</x:v>
      </x:c>
    </x:row>
    <x:row r="42" ht="44" customHeight="1">
      <x:c r="A42" s="2" t="str">
        <x:v>django__django-11797</x:v>
      </x:c>
      <x:c r="B42" s="2" t="str">
        <x:v>django/django</x:v>
      </x:c>
      <x:c r="C42" s="2" t="str">
        <x:v>attempt-0001</x:v>
      </x:c>
      <x:c r="D42" s="2" t="str">
        <x:v>error</x:v>
      </x:c>
      <x:c r="E42" s="2" t="str">
        <x:v>image</x:v>
      </x:c>
      <x:c r="F42" s="2" t="str">
        <x:v>未启动</x:v>
      </x:c>
      <x:c r="G42" s="13" t="n">
        <x:v>1</x:v>
      </x:c>
      <x:c r="H42" s="13" t="n">
        <x:v>0</x:v>
      </x:c>
      <x:c r="I42" s="13" t="n">
        <x:v>0</x:v>
      </x:c>
      <x:c r="J42" s="2" t="str">
        <x:v>无记录</x:v>
      </x:c>
      <x:c r="K42" s="2" t="str">
        <x:v>not_collected</x:v>
      </x:c>
      <x:c r="L42" s="2" t="str">
        <x:v>not_run</x:v>
      </x:c>
      <x:c r="M42" s="11" t="n">
        <x:v>0</x:v>
      </x:c>
      <x:c r="N42" s="11" t="n">
        <x:v>0</x:v>
      </x:c>
      <x:c r="O42" s="12"/>
      <x:c r="P42" s="9" t="str">
        <x:v>ConnectionError: ('Connection aborted.', ConnectionResetError(104, 'Connection reset by peer'))</x:v>
      </x:c>
      <x:c r="Q42" s="9" t="str">
        <x:v>task_output-wsl/lite-baseline-001/instances/django__django-11797/attempt-0001/state.json</x:v>
      </x:c>
      <x:c r="R42" s="2" t="n">
        <x:v>0</x:v>
      </x:c>
    </x:row>
    <x:row r="43" ht="44" customHeight="1">
      <x:c r="A43" s="2" t="str">
        <x:v>django__django-11797</x:v>
      </x:c>
      <x:c r="B43" s="2" t="str">
        <x:v>django/django</x:v>
      </x:c>
      <x:c r="C43" s="2" t="str">
        <x:v>attempt-0002</x:v>
      </x:c>
      <x:c r="D43" s="2" t="str">
        <x:v>resolved</x:v>
      </x:c>
      <x:c r="E43" s="2" t="str">
        <x:v>finished</x:v>
      </x:c>
      <x:c r="F43" s="2" t="str">
        <x:v>completed</x:v>
      </x:c>
      <x:c r="G43" s="13" t="n">
        <x:v>0</x:v>
      </x:c>
      <x:c r="H43" s="13" t="n">
        <x:v>1</x:v>
      </x:c>
      <x:c r="I43" s="13" t="n">
        <x:v>1</x:v>
      </x:c>
      <x:c r="J43" s="2" t="str">
        <x:v>通过</x:v>
      </x:c>
      <x:c r="K43" s="2" t="str">
        <x:v>nonempty</x:v>
      </x:c>
      <x:c r="L43" s="2" t="str">
        <x:v>resolved</x:v>
      </x:c>
      <x:c r="M43" s="11" t="n">
        <x:v>53</x:v>
      </x:c>
      <x:c r="N43" s="11" t="n">
        <x:v>644866</x:v>
      </x:c>
      <x:c r="O43" s="12" t="n">
        <x:v>270.015</x:v>
      </x:c>
      <x:c r="P43" s="9" t="str"/>
      <x:c r="Q43" s="9" t="str">
        <x:v>task_output-wsl/lite-baseline-001/instances/django__django-11797/attempt-0002/state.json</x:v>
      </x:c>
      <x:c r="R43" s="2" t="n">
        <x:v>1</x:v>
      </x:c>
    </x:row>
    <x:row r="44" ht="44" customHeight="1">
      <x:c r="A44" s="2" t="str">
        <x:v>django__django-11815</x:v>
      </x:c>
      <x:c r="B44" s="2" t="str">
        <x:v>django/django</x:v>
      </x:c>
      <x:c r="C44" s="2" t="str">
        <x:v>attempt-0001</x:v>
      </x:c>
      <x:c r="D44" s="2" t="str">
        <x:v>error</x:v>
      </x:c>
      <x:c r="E44" s="2" t="str">
        <x:v>image</x:v>
      </x:c>
      <x:c r="F44" s="2" t="str">
        <x:v>未启动</x:v>
      </x:c>
      <x:c r="G44" s="13" t="n">
        <x:v>1</x:v>
      </x:c>
      <x:c r="H44" s="13" t="n">
        <x:v>0</x:v>
      </x:c>
      <x:c r="I44" s="13" t="n">
        <x:v>0</x:v>
      </x:c>
      <x:c r="J44" s="2" t="str">
        <x:v>无记录</x:v>
      </x:c>
      <x:c r="K44" s="2" t="str">
        <x:v>not_collected</x:v>
      </x:c>
      <x:c r="L44" s="2" t="str">
        <x:v>not_run</x:v>
      </x:c>
      <x:c r="M44" s="11" t="n">
        <x:v>0</x:v>
      </x:c>
      <x:c r="N44" s="11" t="n">
        <x:v>0</x:v>
      </x:c>
      <x:c r="O44" s="12"/>
      <x:c r="P44" s="9" t="str">
        <x:v>ConnectionError: ('Connection aborted.', ConnectionResetError(104, 'Connection reset by peer'))</x:v>
      </x:c>
      <x:c r="Q44" s="9" t="str">
        <x:v>task_output-wsl/lite-baseline-001/instances/django__django-11815/attempt-0001/state.json</x:v>
      </x:c>
      <x:c r="R44" s="2" t="n">
        <x:v>0</x:v>
      </x:c>
    </x:row>
    <x:row r="45" ht="44" customHeight="1">
      <x:c r="A45" s="2" t="str">
        <x:v>django__django-11815</x:v>
      </x:c>
      <x:c r="B45" s="2" t="str">
        <x:v>django/django</x:v>
      </x:c>
      <x:c r="C45" s="2" t="str">
        <x:v>attempt-0002</x:v>
      </x:c>
      <x:c r="D45" s="2" t="str">
        <x:v>unresolved</x:v>
      </x:c>
      <x:c r="E45" s="2" t="str">
        <x:v>finished</x:v>
      </x:c>
      <x:c r="F45" s="2" t="str">
        <x:v>completed</x:v>
      </x:c>
      <x:c r="G45" s="13" t="n">
        <x:v>0</x:v>
      </x:c>
      <x:c r="H45" s="13" t="n">
        <x:v>1</x:v>
      </x:c>
      <x:c r="I45" s="13" t="n">
        <x:v>1</x:v>
      </x:c>
      <x:c r="J45" s="2" t="str">
        <x:v>通过</x:v>
      </x:c>
      <x:c r="K45" s="2" t="str">
        <x:v>nonempty</x:v>
      </x:c>
      <x:c r="L45" s="2" t="str">
        <x:v>unresolved</x:v>
      </x:c>
      <x:c r="M45" s="11" t="n">
        <x:v>30</x:v>
      </x:c>
      <x:c r="N45" s="11" t="n">
        <x:v>313871</x:v>
      </x:c>
      <x:c r="O45" s="12" t="n">
        <x:v>85.49</x:v>
      </x:c>
      <x:c r="P45" s="9" t="str"/>
      <x:c r="Q45" s="9" t="str">
        <x:v>task_output-wsl/lite-baseline-001/instances/django__django-11815/attempt-0002/state.json</x:v>
      </x:c>
      <x:c r="R45" s="2" t="n">
        <x:v>1</x:v>
      </x:c>
    </x:row>
    <x:row r="46" ht="44" customHeight="1">
      <x:c r="A46" s="2" t="str">
        <x:v>django__django-11848</x:v>
      </x:c>
      <x:c r="B46" s="2" t="str">
        <x:v>django/django</x:v>
      </x:c>
      <x:c r="C46" s="2" t="str">
        <x:v>attempt-0001</x:v>
      </x:c>
      <x:c r="D46" s="2" t="str">
        <x:v>empty_patch</x:v>
      </x:c>
      <x:c r="E46" s="2" t="str">
        <x:v>finished</x:v>
      </x:c>
      <x:c r="F46" s="2" t="str">
        <x:v>error</x:v>
      </x:c>
      <x:c r="G46" s="13" t="n">
        <x:v>1</x:v>
      </x:c>
      <x:c r="H46" s="13" t="n">
        <x:v>1</x:v>
      </x:c>
      <x:c r="I46" s="13" t="n">
        <x:v>1</x:v>
      </x:c>
      <x:c r="J46" s="2" t="str">
        <x:v>通过</x:v>
      </x:c>
      <x:c r="K46" s="2" t="str">
        <x:v>empty</x:v>
      </x:c>
      <x:c r="L46" s="2" t="str">
        <x:v>not_run</x:v>
      </x:c>
      <x:c r="M46" s="11" t="n">
        <x:v>2</x:v>
      </x:c>
      <x:c r="N46" s="11" t="n">
        <x:v>2155</x:v>
      </x:c>
      <x:c r="O46" s="12" t="n">
        <x:v>2.369</x:v>
      </x:c>
      <x:c r="P46" s="9" t="str">
        <x:v>peer closed connection without sending complete message body (incomplete chunked read)</x:v>
      </x:c>
      <x:c r="Q46" s="9" t="str">
        <x:v>task_output-wsl/lite-baseline-001/instances/django__django-11848/attempt-0001/state.json</x:v>
      </x:c>
      <x:c r="R46" s="2" t="n">
        <x:v>1</x:v>
      </x:c>
    </x:row>
    <x:row r="47" ht="44" customHeight="1">
      <x:c r="A47" s="2" t="str">
        <x:v>django__django-11905</x:v>
      </x:c>
      <x:c r="B47" s="2" t="str">
        <x:v>django/django</x:v>
      </x:c>
      <x:c r="C47" s="2" t="str">
        <x:v>attempt-0001</x:v>
      </x:c>
      <x:c r="D47" s="2" t="str">
        <x:v>error</x:v>
      </x:c>
      <x:c r="E47" s="2" t="str">
        <x:v>gold</x:v>
      </x:c>
      <x:c r="F47" s="2" t="str">
        <x:v>未启动</x:v>
      </x:c>
      <x:c r="G47" s="13" t="n">
        <x:v>1</x:v>
      </x:c>
      <x:c r="H47" s="13" t="n">
        <x:v>0</x:v>
      </x:c>
      <x:c r="I47" s="13" t="n">
        <x:v>0</x:v>
      </x:c>
      <x:c r="J47" s="2" t="str">
        <x:v>无记录</x:v>
      </x:c>
      <x:c r="K47" s="2" t="str">
        <x:v>not_collected</x:v>
      </x:c>
      <x:c r="L47" s="2" t="str">
        <x:v>not_run</x:v>
      </x:c>
      <x:c r="M47" s="11" t="n">
        <x:v>0</x:v>
      </x:c>
      <x:c r="N47" s="11" t="n">
        <x:v>0</x:v>
      </x:c>
      <x:c r="O47" s="12"/>
      <x:c r="P47" s="9" t="str">
        <x:v>RuntimeError: Official evaluation produced no report; see gold/d3d9f2a8c8/harness.log.</x:v>
      </x:c>
      <x:c r="Q47" s="9" t="str">
        <x:v>task_output-wsl/lite-baseline-001/instances/django__django-11905/attempt-0001/state.json</x:v>
      </x:c>
      <x:c r="R47" s="2" t="n">
        <x:v>0</x:v>
      </x:c>
    </x:row>
    <x:row r="48" ht="44" customHeight="1">
      <x:c r="A48" s="2" t="str">
        <x:v>django__django-11905</x:v>
      </x:c>
      <x:c r="B48" s="2" t="str">
        <x:v>django/django</x:v>
      </x:c>
      <x:c r="C48" s="2" t="str">
        <x:v>attempt-0002</x:v>
      </x:c>
      <x:c r="D48" s="2" t="str">
        <x:v>resolved</x:v>
      </x:c>
      <x:c r="E48" s="2" t="str">
        <x:v>finished</x:v>
      </x:c>
      <x:c r="F48" s="2" t="str">
        <x:v>completed</x:v>
      </x:c>
      <x:c r="G48" s="13" t="n">
        <x:v>0</x:v>
      </x:c>
      <x:c r="H48" s="13" t="n">
        <x:v>1</x:v>
      </x:c>
      <x:c r="I48" s="13" t="n">
        <x:v>1</x:v>
      </x:c>
      <x:c r="J48" s="2" t="str">
        <x:v>通过</x:v>
      </x:c>
      <x:c r="K48" s="2" t="str">
        <x:v>nonempty</x:v>
      </x:c>
      <x:c r="L48" s="2" t="str">
        <x:v>resolved</x:v>
      </x:c>
      <x:c r="M48" s="11" t="n">
        <x:v>34</x:v>
      </x:c>
      <x:c r="N48" s="11" t="n">
        <x:v>338419</x:v>
      </x:c>
      <x:c r="O48" s="12" t="n">
        <x:v>92.305</x:v>
      </x:c>
      <x:c r="P48" s="9" t="str"/>
      <x:c r="Q48" s="9" t="str">
        <x:v>task_output-wsl/lite-baseline-001/instances/django__django-11905/attempt-0002/state.json</x:v>
      </x:c>
      <x:c r="R48" s="2" t="n">
        <x:v>1</x:v>
      </x:c>
    </x:row>
    <x:row r="49" ht="44" customHeight="1">
      <x:c r="A49" s="2" t="str">
        <x:v>django__django-11910</x:v>
      </x:c>
      <x:c r="B49" s="2" t="str">
        <x:v>django/django</x:v>
      </x:c>
      <x:c r="C49" s="2" t="str">
        <x:v>attempt-0001</x:v>
      </x:c>
      <x:c r="D49" s="2" t="str">
        <x:v>error</x:v>
      </x:c>
      <x:c r="E49" s="2" t="str">
        <x:v>image</x:v>
      </x:c>
      <x:c r="F49" s="2" t="str">
        <x:v>未启动</x:v>
      </x:c>
      <x:c r="G49" s="13" t="n">
        <x:v>1</x:v>
      </x:c>
      <x:c r="H49" s="13" t="n">
        <x:v>0</x:v>
      </x:c>
      <x:c r="I49" s="13" t="n">
        <x:v>0</x:v>
      </x:c>
      <x:c r="J49" s="2" t="str">
        <x:v>无记录</x:v>
      </x:c>
      <x:c r="K49" s="2" t="str">
        <x:v>not_collected</x:v>
      </x:c>
      <x:c r="L49" s="2" t="str">
        <x:v>not_run</x:v>
      </x:c>
      <x:c r="M49" s="11" t="n">
        <x:v>0</x:v>
      </x:c>
      <x:c r="N49" s="11" t="n">
        <x:v>0</x:v>
      </x:c>
      <x:c r="O49" s="12"/>
      <x:c r="P49" s="9" t="str">
        <x:v>ConnectionError: ('Connection aborted.', ConnectionResetError(104, 'Connection reset by peer'))</x:v>
      </x:c>
      <x:c r="Q49" s="9" t="str">
        <x:v>task_output-wsl/lite-baseline-001/instances/django__django-11910/attempt-0001/state.json</x:v>
      </x:c>
      <x:c r="R49" s="2" t="n">
        <x:v>0</x:v>
      </x:c>
    </x:row>
    <x:row r="50" ht="44" customHeight="1">
      <x:c r="A50" s="2" t="str">
        <x:v>django__django-11910</x:v>
      </x:c>
      <x:c r="B50" s="2" t="str">
        <x:v>django/django</x:v>
      </x:c>
      <x:c r="C50" s="2" t="str">
        <x:v>attempt-0002</x:v>
      </x:c>
      <x:c r="D50" s="2" t="str">
        <x:v>empty_patch</x:v>
      </x:c>
      <x:c r="E50" s="2" t="str">
        <x:v>finished</x:v>
      </x:c>
      <x:c r="F50" s="2" t="str">
        <x:v>limit</x:v>
      </x:c>
      <x:c r="G50" s="13" t="n">
        <x:v>0</x:v>
      </x:c>
      <x:c r="H50" s="13" t="n">
        <x:v>1</x:v>
      </x:c>
      <x:c r="I50" s="13" t="n">
        <x:v>1</x:v>
      </x:c>
      <x:c r="J50" s="2" t="str">
        <x:v>通过</x:v>
      </x:c>
      <x:c r="K50" s="2" t="str">
        <x:v>empty</x:v>
      </x:c>
      <x:c r="L50" s="2" t="str">
        <x:v>not_run</x:v>
      </x:c>
      <x:c r="M50" s="11" t="n">
        <x:v>63</x:v>
      </x:c>
      <x:c r="N50" s="11" t="n">
        <x:v>655639</x:v>
      </x:c>
      <x:c r="O50" s="12" t="n">
        <x:v>154.12</x:v>
      </x:c>
      <x:c r="P50" s="9" t="str">
        <x:v>Lead model-turn limit reached.</x:v>
      </x:c>
      <x:c r="Q50" s="9" t="str">
        <x:v>task_output-wsl/lite-baseline-001/instances/django__django-11910/attempt-0002/state.json</x:v>
      </x:c>
      <x:c r="R50" s="2" t="n">
        <x:v>1</x:v>
      </x:c>
    </x:row>
    <x:row r="51" ht="44" customHeight="1">
      <x:c r="A51" s="2" t="str">
        <x:v>django__django-11964</x:v>
      </x:c>
      <x:c r="B51" s="2" t="str">
        <x:v>django/django</x:v>
      </x:c>
      <x:c r="C51" s="2" t="str">
        <x:v>attempt-0001</x:v>
      </x:c>
      <x:c r="D51" s="2" t="str">
        <x:v>resolved</x:v>
      </x:c>
      <x:c r="E51" s="2" t="str">
        <x:v>finished</x:v>
      </x:c>
      <x:c r="F51" s="2" t="str">
        <x:v>completed</x:v>
      </x:c>
      <x:c r="G51" s="13" t="n">
        <x:v>1</x:v>
      </x:c>
      <x:c r="H51" s="13" t="n">
        <x:v>1</x:v>
      </x:c>
      <x:c r="I51" s="13" t="n">
        <x:v>1</x:v>
      </x:c>
      <x:c r="J51" s="2" t="str">
        <x:v>通过</x:v>
      </x:c>
      <x:c r="K51" s="2" t="str">
        <x:v>nonempty</x:v>
      </x:c>
      <x:c r="L51" s="2" t="str">
        <x:v>resolved</x:v>
      </x:c>
      <x:c r="M51" s="11" t="n">
        <x:v>27</x:v>
      </x:c>
      <x:c r="N51" s="11" t="n">
        <x:v>311537</x:v>
      </x:c>
      <x:c r="O51" s="12" t="n">
        <x:v>62.152</x:v>
      </x:c>
      <x:c r="P51" s="9" t="str"/>
      <x:c r="Q51" s="9" t="str">
        <x:v>task_output-wsl/lite-baseline-001/instances/django__django-11964/attempt-0001/state.json</x:v>
      </x:c>
      <x:c r="R51" s="2" t="n">
        <x:v>1</x:v>
      </x:c>
    </x:row>
    <x:row r="52" ht="44" customHeight="1">
      <x:c r="A52" s="2" t="str">
        <x:v>django__django-11999</x:v>
      </x:c>
      <x:c r="B52" s="2" t="str">
        <x:v>django/django</x:v>
      </x:c>
      <x:c r="C52" s="2" t="str">
        <x:v>attempt-0001</x:v>
      </x:c>
      <x:c r="D52" s="2" t="str">
        <x:v>resolved</x:v>
      </x:c>
      <x:c r="E52" s="2" t="str">
        <x:v>finished</x:v>
      </x:c>
      <x:c r="F52" s="2" t="str">
        <x:v>completed</x:v>
      </x:c>
      <x:c r="G52" s="13" t="n">
        <x:v>1</x:v>
      </x:c>
      <x:c r="H52" s="13" t="n">
        <x:v>1</x:v>
      </x:c>
      <x:c r="I52" s="13" t="n">
        <x:v>1</x:v>
      </x:c>
      <x:c r="J52" s="2" t="str">
        <x:v>通过</x:v>
      </x:c>
      <x:c r="K52" s="2" t="str">
        <x:v>nonempty</x:v>
      </x:c>
      <x:c r="L52" s="2" t="str">
        <x:v>resolved</x:v>
      </x:c>
      <x:c r="M52" s="11" t="n">
        <x:v>14</x:v>
      </x:c>
      <x:c r="N52" s="11" t="n">
        <x:v>121565</x:v>
      </x:c>
      <x:c r="O52" s="12" t="n">
        <x:v>30.895</x:v>
      </x:c>
      <x:c r="P52" s="9" t="str"/>
      <x:c r="Q52" s="9" t="str">
        <x:v>task_output-wsl/lite-baseline-001/instances/django__django-11999/attempt-0001/state.json</x:v>
      </x:c>
      <x:c r="R52" s="2" t="n">
        <x:v>1</x:v>
      </x:c>
    </x:row>
    <x:row r="53" ht="44" customHeight="1">
      <x:c r="A53" s="2" t="str">
        <x:v>django__django-12113</x:v>
      </x:c>
      <x:c r="B53" s="2" t="str">
        <x:v>django/django</x:v>
      </x:c>
      <x:c r="C53" s="2" t="str">
        <x:v>attempt-0001</x:v>
      </x:c>
      <x:c r="D53" s="2" t="str">
        <x:v>resolved</x:v>
      </x:c>
      <x:c r="E53" s="2" t="str">
        <x:v>finished</x:v>
      </x:c>
      <x:c r="F53" s="2" t="str">
        <x:v>completed</x:v>
      </x:c>
      <x:c r="G53" s="13" t="n">
        <x:v>1</x:v>
      </x:c>
      <x:c r="H53" s="13" t="n">
        <x:v>1</x:v>
      </x:c>
      <x:c r="I53" s="13" t="n">
        <x:v>1</x:v>
      </x:c>
      <x:c r="J53" s="2" t="str">
        <x:v>通过</x:v>
      </x:c>
      <x:c r="K53" s="2" t="str">
        <x:v>nonempty</x:v>
      </x:c>
      <x:c r="L53" s="2" t="str">
        <x:v>resolved</x:v>
      </x:c>
      <x:c r="M53" s="11" t="n">
        <x:v>29</x:v>
      </x:c>
      <x:c r="N53" s="11" t="n">
        <x:v>285437</x:v>
      </x:c>
      <x:c r="O53" s="12" t="n">
        <x:v>68.301</x:v>
      </x:c>
      <x:c r="P53" s="9" t="str"/>
      <x:c r="Q53" s="9" t="str">
        <x:v>task_output-wsl/lite-baseline-001/instances/django__django-12113/attempt-0001/state.json</x:v>
      </x:c>
      <x:c r="R53" s="2" t="n">
        <x:v>1</x:v>
      </x:c>
    </x:row>
    <x:row r="54" ht="44" customHeight="1">
      <x:c r="A54" s="2" t="str">
        <x:v>django__django-12125</x:v>
      </x:c>
      <x:c r="B54" s="2" t="str">
        <x:v>django/django</x:v>
      </x:c>
      <x:c r="C54" s="2" t="str">
        <x:v>attempt-0001</x:v>
      </x:c>
      <x:c r="D54" s="2" t="str">
        <x:v>empty_patch</x:v>
      </x:c>
      <x:c r="E54" s="2" t="str">
        <x:v>finished</x:v>
      </x:c>
      <x:c r="F54" s="2" t="str">
        <x:v>completed</x:v>
      </x:c>
      <x:c r="G54" s="13" t="n">
        <x:v>1</x:v>
      </x:c>
      <x:c r="H54" s="13" t="n">
        <x:v>1</x:v>
      </x:c>
      <x:c r="I54" s="13" t="n">
        <x:v>1</x:v>
      </x:c>
      <x:c r="J54" s="2" t="str">
        <x:v>通过</x:v>
      </x:c>
      <x:c r="K54" s="2" t="str">
        <x:v>empty</x:v>
      </x:c>
      <x:c r="L54" s="2" t="str">
        <x:v>not_run</x:v>
      </x:c>
      <x:c r="M54" s="11" t="n">
        <x:v>29</x:v>
      </x:c>
      <x:c r="N54" s="11" t="n">
        <x:v>293006</x:v>
      </x:c>
      <x:c r="O54" s="12" t="n">
        <x:v>89.222</x:v>
      </x:c>
      <x:c r="P54" s="9" t="str">
        <x:v>Runner collected no working-tree changes.</x:v>
      </x:c>
      <x:c r="Q54" s="9" t="str">
        <x:v>task_output-wsl/lite-baseline-001/instances/django__django-12125/attempt-0001/state.json</x:v>
      </x:c>
      <x:c r="R54" s="2" t="n">
        <x:v>1</x:v>
      </x:c>
    </x:row>
    <x:row r="55" ht="44" customHeight="1">
      <x:c r="A55" s="2" t="str">
        <x:v>django__django-12184</x:v>
      </x:c>
      <x:c r="B55" s="2" t="str">
        <x:v>django/django</x:v>
      </x:c>
      <x:c r="C55" s="2" t="str">
        <x:v>attempt-0001</x:v>
      </x:c>
      <x:c r="D55" s="2" t="str">
        <x:v>resolved</x:v>
      </x:c>
      <x:c r="E55" s="2" t="str">
        <x:v>finished</x:v>
      </x:c>
      <x:c r="F55" s="2" t="str">
        <x:v>completed</x:v>
      </x:c>
      <x:c r="G55" s="13" t="n">
        <x:v>1</x:v>
      </x:c>
      <x:c r="H55" s="13" t="n">
        <x:v>1</x:v>
      </x:c>
      <x:c r="I55" s="13" t="n">
        <x:v>1</x:v>
      </x:c>
      <x:c r="J55" s="2" t="str">
        <x:v>通过</x:v>
      </x:c>
      <x:c r="K55" s="2" t="str">
        <x:v>nonempty</x:v>
      </x:c>
      <x:c r="L55" s="2" t="str">
        <x:v>resolved</x:v>
      </x:c>
      <x:c r="M55" s="11" t="n">
        <x:v>15</x:v>
      </x:c>
      <x:c r="N55" s="11" t="n">
        <x:v>160665</x:v>
      </x:c>
      <x:c r="O55" s="12" t="n">
        <x:v>31.662</x:v>
      </x:c>
      <x:c r="P55" s="9" t="str"/>
      <x:c r="Q55" s="9" t="str">
        <x:v>task_output-wsl/lite-baseline-001/instances/django__django-12184/attempt-0001/state.json</x:v>
      </x:c>
      <x:c r="R55" s="2" t="n">
        <x:v>1</x:v>
      </x:c>
    </x:row>
    <x:row r="56" ht="44" customHeight="1">
      <x:c r="A56" s="2" t="str">
        <x:v>django__django-12284</x:v>
      </x:c>
      <x:c r="B56" s="2" t="str">
        <x:v>django/django</x:v>
      </x:c>
      <x:c r="C56" s="2" t="str">
        <x:v>attempt-0001</x:v>
      </x:c>
      <x:c r="D56" s="2" t="str">
        <x:v>resolved</x:v>
      </x:c>
      <x:c r="E56" s="2" t="str">
        <x:v>finished</x:v>
      </x:c>
      <x:c r="F56" s="2" t="str">
        <x:v>completed</x:v>
      </x:c>
      <x:c r="G56" s="13" t="n">
        <x:v>1</x:v>
      </x:c>
      <x:c r="H56" s="13" t="n">
        <x:v>1</x:v>
      </x:c>
      <x:c r="I56" s="13" t="n">
        <x:v>1</x:v>
      </x:c>
      <x:c r="J56" s="2" t="str">
        <x:v>通过</x:v>
      </x:c>
      <x:c r="K56" s="2" t="str">
        <x:v>nonempty</x:v>
      </x:c>
      <x:c r="L56" s="2" t="str">
        <x:v>resolved</x:v>
      </x:c>
      <x:c r="M56" s="11" t="n">
        <x:v>16</x:v>
      </x:c>
      <x:c r="N56" s="11" t="n">
        <x:v>144580</x:v>
      </x:c>
      <x:c r="O56" s="12" t="n">
        <x:v>36.307</x:v>
      </x:c>
      <x:c r="P56" s="9" t="str"/>
      <x:c r="Q56" s="9" t="str">
        <x:v>task_output-wsl/lite-baseline-001/instances/django__django-12284/attempt-0001/state.json</x:v>
      </x:c>
      <x:c r="R56" s="2" t="n">
        <x:v>1</x:v>
      </x:c>
    </x:row>
    <x:row r="57" ht="44" customHeight="1">
      <x:c r="A57" s="2" t="str">
        <x:v>django__django-12286</x:v>
      </x:c>
      <x:c r="B57" s="2" t="str">
        <x:v>django/django</x:v>
      </x:c>
      <x:c r="C57" s="2" t="str">
        <x:v>attempt-0001</x:v>
      </x:c>
      <x:c r="D57" s="2" t="str">
        <x:v>resolved</x:v>
      </x:c>
      <x:c r="E57" s="2" t="str">
        <x:v>finished</x:v>
      </x:c>
      <x:c r="F57" s="2" t="str">
        <x:v>completed</x:v>
      </x:c>
      <x:c r="G57" s="13" t="n">
        <x:v>1</x:v>
      </x:c>
      <x:c r="H57" s="13" t="n">
        <x:v>1</x:v>
      </x:c>
      <x:c r="I57" s="13" t="n">
        <x:v>1</x:v>
      </x:c>
      <x:c r="J57" s="2" t="str">
        <x:v>通过</x:v>
      </x:c>
      <x:c r="K57" s="2" t="str">
        <x:v>nonempty</x:v>
      </x:c>
      <x:c r="L57" s="2" t="str">
        <x:v>resolved</x:v>
      </x:c>
      <x:c r="M57" s="11" t="n">
        <x:v>16</x:v>
      </x:c>
      <x:c r="N57" s="11" t="n">
        <x:v>198410</x:v>
      </x:c>
      <x:c r="O57" s="12" t="n">
        <x:v>42.605</x:v>
      </x:c>
      <x:c r="P57" s="9" t="str"/>
      <x:c r="Q57" s="9" t="str">
        <x:v>task_output-wsl/lite-baseline-001/instances/django__django-12286/attempt-0001/state.json</x:v>
      </x:c>
      <x:c r="R57" s="2" t="n">
        <x:v>1</x:v>
      </x:c>
    </x:row>
    <x:row r="58" ht="44" customHeight="1">
      <x:c r="A58" s="2" t="str">
        <x:v>django__django-12308</x:v>
      </x:c>
      <x:c r="B58" s="2" t="str">
        <x:v>django/django</x:v>
      </x:c>
      <x:c r="C58" s="2" t="str">
        <x:v>attempt-0001</x:v>
      </x:c>
      <x:c r="D58" s="2" t="str">
        <x:v>resolved</x:v>
      </x:c>
      <x:c r="E58" s="2" t="str">
        <x:v>finished</x:v>
      </x:c>
      <x:c r="F58" s="2" t="str">
        <x:v>completed</x:v>
      </x:c>
      <x:c r="G58" s="13" t="n">
        <x:v>1</x:v>
      </x:c>
      <x:c r="H58" s="13" t="n">
        <x:v>1</x:v>
      </x:c>
      <x:c r="I58" s="13" t="n">
        <x:v>1</x:v>
      </x:c>
      <x:c r="J58" s="2" t="str">
        <x:v>通过</x:v>
      </x:c>
      <x:c r="K58" s="2" t="str">
        <x:v>nonempty</x:v>
      </x:c>
      <x:c r="L58" s="2" t="str">
        <x:v>resolved</x:v>
      </x:c>
      <x:c r="M58" s="11" t="n">
        <x:v>29</x:v>
      </x:c>
      <x:c r="N58" s="11" t="n">
        <x:v>286233</x:v>
      </x:c>
      <x:c r="O58" s="12" t="n">
        <x:v>68.98</x:v>
      </x:c>
      <x:c r="P58" s="9" t="str"/>
      <x:c r="Q58" s="9" t="str">
        <x:v>task_output-wsl/lite-baseline-001/instances/django__django-12308/attempt-0001/state.json</x:v>
      </x:c>
      <x:c r="R58" s="2" t="n">
        <x:v>1</x:v>
      </x:c>
    </x:row>
    <x:row r="59" ht="44" customHeight="1">
      <x:c r="A59" s="2" t="str">
        <x:v>django__django-12453</x:v>
      </x:c>
      <x:c r="B59" s="2" t="str">
        <x:v>django/django</x:v>
      </x:c>
      <x:c r="C59" s="2" t="str">
        <x:v>attempt-0001</x:v>
      </x:c>
      <x:c r="D59" s="2" t="str">
        <x:v>resolved</x:v>
      </x:c>
      <x:c r="E59" s="2" t="str">
        <x:v>finished</x:v>
      </x:c>
      <x:c r="F59" s="2" t="str">
        <x:v>completed</x:v>
      </x:c>
      <x:c r="G59" s="13" t="n">
        <x:v>1</x:v>
      </x:c>
      <x:c r="H59" s="13" t="n">
        <x:v>1</x:v>
      </x:c>
      <x:c r="I59" s="13" t="n">
        <x:v>1</x:v>
      </x:c>
      <x:c r="J59" s="2" t="str">
        <x:v>通过</x:v>
      </x:c>
      <x:c r="K59" s="2" t="str">
        <x:v>nonempty</x:v>
      </x:c>
      <x:c r="L59" s="2" t="str">
        <x:v>resolved</x:v>
      </x:c>
      <x:c r="M59" s="11" t="n">
        <x:v>54</x:v>
      </x:c>
      <x:c r="N59" s="11" t="n">
        <x:v>559977</x:v>
      </x:c>
      <x:c r="O59" s="12" t="n">
        <x:v>130.273</x:v>
      </x:c>
      <x:c r="P59" s="9" t="str"/>
      <x:c r="Q59" s="9" t="str">
        <x:v>task_output-wsl/lite-baseline-001/instances/django__django-12453/attempt-0001/state.json</x:v>
      </x:c>
      <x:c r="R59" s="2" t="n">
        <x:v>1</x:v>
      </x:c>
    </x:row>
    <x:row r="60" ht="44" customHeight="1">
      <x:c r="A60" s="2" t="str">
        <x:v>django__django-12470</x:v>
      </x:c>
      <x:c r="B60" s="2" t="str">
        <x:v>django/django</x:v>
      </x:c>
      <x:c r="C60" s="2" t="str">
        <x:v>attempt-0001</x:v>
      </x:c>
      <x:c r="D60" s="2" t="str">
        <x:v>resolved</x:v>
      </x:c>
      <x:c r="E60" s="2" t="str">
        <x:v>finished</x:v>
      </x:c>
      <x:c r="F60" s="2" t="str">
        <x:v>completed</x:v>
      </x:c>
      <x:c r="G60" s="13" t="n">
        <x:v>1</x:v>
      </x:c>
      <x:c r="H60" s="13" t="n">
        <x:v>1</x:v>
      </x:c>
      <x:c r="I60" s="13" t="n">
        <x:v>1</x:v>
      </x:c>
      <x:c r="J60" s="2" t="str">
        <x:v>通过</x:v>
      </x:c>
      <x:c r="K60" s="2" t="str">
        <x:v>nonempty</x:v>
      </x:c>
      <x:c r="L60" s="2" t="str">
        <x:v>resolved</x:v>
      </x:c>
      <x:c r="M60" s="11" t="n">
        <x:v>37</x:v>
      </x:c>
      <x:c r="N60" s="11" t="n">
        <x:v>337524</x:v>
      </x:c>
      <x:c r="O60" s="12" t="n">
        <x:v>79.554</x:v>
      </x:c>
      <x:c r="P60" s="9" t="str"/>
      <x:c r="Q60" s="9" t="str">
        <x:v>task_output-wsl/lite-baseline-001/instances/django__django-12470/attempt-0001/state.json</x:v>
      </x:c>
      <x:c r="R60" s="2" t="n">
        <x:v>1</x:v>
      </x:c>
    </x:row>
    <x:row r="61" ht="44" customHeight="1">
      <x:c r="A61" s="2" t="str">
        <x:v>django__django-12497</x:v>
      </x:c>
      <x:c r="B61" s="2" t="str">
        <x:v>django/django</x:v>
      </x:c>
      <x:c r="C61" s="2" t="str">
        <x:v>attempt-0001</x:v>
      </x:c>
      <x:c r="D61" s="2" t="str">
        <x:v>resolved</x:v>
      </x:c>
      <x:c r="E61" s="2" t="str">
        <x:v>finished</x:v>
      </x:c>
      <x:c r="F61" s="2" t="str">
        <x:v>completed</x:v>
      </x:c>
      <x:c r="G61" s="13" t="n">
        <x:v>1</x:v>
      </x:c>
      <x:c r="H61" s="13" t="n">
        <x:v>1</x:v>
      </x:c>
      <x:c r="I61" s="13" t="n">
        <x:v>1</x:v>
      </x:c>
      <x:c r="J61" s="2" t="str">
        <x:v>通过</x:v>
      </x:c>
      <x:c r="K61" s="2" t="str">
        <x:v>nonempty</x:v>
      </x:c>
      <x:c r="L61" s="2" t="str">
        <x:v>resolved</x:v>
      </x:c>
      <x:c r="M61" s="11" t="n">
        <x:v>11</x:v>
      </x:c>
      <x:c r="N61" s="11" t="n">
        <x:v>57018</x:v>
      </x:c>
      <x:c r="O61" s="12" t="n">
        <x:v>20.553</x:v>
      </x:c>
      <x:c r="P61" s="9" t="str"/>
      <x:c r="Q61" s="9" t="str">
        <x:v>task_output-wsl/lite-baseline-001/instances/django__django-12497/attempt-0001/state.json</x:v>
      </x:c>
      <x:c r="R61" s="2" t="n">
        <x:v>1</x:v>
      </x:c>
    </x:row>
    <x:row r="62" ht="44" customHeight="1">
      <x:c r="A62" s="2" t="str">
        <x:v>django__django-12589</x:v>
      </x:c>
      <x:c r="B62" s="2" t="str">
        <x:v>django/django</x:v>
      </x:c>
      <x:c r="C62" s="2" t="str">
        <x:v>attempt-0001</x:v>
      </x:c>
      <x:c r="D62" s="2" t="str">
        <x:v>resolved</x:v>
      </x:c>
      <x:c r="E62" s="2" t="str">
        <x:v>finished</x:v>
      </x:c>
      <x:c r="F62" s="2" t="str">
        <x:v>limit</x:v>
      </x:c>
      <x:c r="G62" s="13" t="n">
        <x:v>1</x:v>
      </x:c>
      <x:c r="H62" s="13" t="n">
        <x:v>1</x:v>
      </x:c>
      <x:c r="I62" s="13" t="n">
        <x:v>1</x:v>
      </x:c>
      <x:c r="J62" s="2" t="str">
        <x:v>通过</x:v>
      </x:c>
      <x:c r="K62" s="2" t="str">
        <x:v>nonempty</x:v>
      </x:c>
      <x:c r="L62" s="2" t="str">
        <x:v>resolved</x:v>
      </x:c>
      <x:c r="M62" s="11" t="n">
        <x:v>62</x:v>
      </x:c>
      <x:c r="N62" s="11" t="n">
        <x:v>628286</x:v>
      </x:c>
      <x:c r="O62" s="12" t="n">
        <x:v>125.045</x:v>
      </x:c>
      <x:c r="P62" s="9" t="str">
        <x:v>Lead model-turn limit reached.</x:v>
      </x:c>
      <x:c r="Q62" s="9" t="str">
        <x:v>task_output-wsl/lite-baseline-001/instances/django__django-12589/attempt-0001/state.json</x:v>
      </x:c>
      <x:c r="R62" s="2" t="n">
        <x:v>1</x:v>
      </x:c>
    </x:row>
    <x:row r="63" ht="44" customHeight="1">
      <x:c r="A63" s="2" t="str">
        <x:v>django__django-12700</x:v>
      </x:c>
      <x:c r="B63" s="2" t="str">
        <x:v>django/django</x:v>
      </x:c>
      <x:c r="C63" s="2" t="str">
        <x:v>attempt-0001</x:v>
      </x:c>
      <x:c r="D63" s="2" t="str">
        <x:v>unresolved</x:v>
      </x:c>
      <x:c r="E63" s="2" t="str">
        <x:v>finished</x:v>
      </x:c>
      <x:c r="F63" s="2" t="str">
        <x:v>completed</x:v>
      </x:c>
      <x:c r="G63" s="13" t="n">
        <x:v>1</x:v>
      </x:c>
      <x:c r="H63" s="13" t="n">
        <x:v>1</x:v>
      </x:c>
      <x:c r="I63" s="13" t="n">
        <x:v>1</x:v>
      </x:c>
      <x:c r="J63" s="2" t="str">
        <x:v>通过</x:v>
      </x:c>
      <x:c r="K63" s="2" t="str">
        <x:v>nonempty</x:v>
      </x:c>
      <x:c r="L63" s="2" t="str">
        <x:v>unresolved</x:v>
      </x:c>
      <x:c r="M63" s="11" t="n">
        <x:v>7</x:v>
      </x:c>
      <x:c r="N63" s="11" t="n">
        <x:v>45433</x:v>
      </x:c>
      <x:c r="O63" s="12" t="n">
        <x:v>18.7</x:v>
      </x:c>
      <x:c r="P63" s="9" t="str"/>
      <x:c r="Q63" s="9" t="str">
        <x:v>task_output-wsl/lite-baseline-001/instances/django__django-12700/attempt-0001/state.json</x:v>
      </x:c>
      <x:c r="R63" s="2" t="n">
        <x:v>1</x:v>
      </x:c>
    </x:row>
    <x:row r="64" ht="44" customHeight="1">
      <x:c r="A64" s="2" t="str">
        <x:v>django__django-12708</x:v>
      </x:c>
      <x:c r="B64" s="2" t="str">
        <x:v>django/django</x:v>
      </x:c>
      <x:c r="C64" s="2" t="str">
        <x:v>attempt-0001</x:v>
      </x:c>
      <x:c r="D64" s="2" t="str">
        <x:v>resolved</x:v>
      </x:c>
      <x:c r="E64" s="2" t="str">
        <x:v>finished</x:v>
      </x:c>
      <x:c r="F64" s="2" t="str">
        <x:v>completed</x:v>
      </x:c>
      <x:c r="G64" s="13" t="n">
        <x:v>1</x:v>
      </x:c>
      <x:c r="H64" s="13" t="n">
        <x:v>1</x:v>
      </x:c>
      <x:c r="I64" s="13" t="n">
        <x:v>1</x:v>
      </x:c>
      <x:c r="J64" s="2" t="str">
        <x:v>通过</x:v>
      </x:c>
      <x:c r="K64" s="2" t="str">
        <x:v>nonempty</x:v>
      </x:c>
      <x:c r="L64" s="2" t="str">
        <x:v>resolved</x:v>
      </x:c>
      <x:c r="M64" s="11" t="n">
        <x:v>34</x:v>
      </x:c>
      <x:c r="N64" s="11" t="n">
        <x:v>348367</x:v>
      </x:c>
      <x:c r="O64" s="12" t="n">
        <x:v>75.929</x:v>
      </x:c>
      <x:c r="P64" s="9" t="str"/>
      <x:c r="Q64" s="9" t="str">
        <x:v>task_output-wsl/lite-baseline-001/instances/django__django-12708/attempt-0001/state.json</x:v>
      </x:c>
      <x:c r="R64" s="2" t="n">
        <x:v>1</x:v>
      </x:c>
    </x:row>
    <x:row r="65" ht="44" customHeight="1">
      <x:c r="A65" s="2" t="str">
        <x:v>django__django-12747</x:v>
      </x:c>
      <x:c r="B65" s="2" t="str">
        <x:v>django/django</x:v>
      </x:c>
      <x:c r="C65" s="2" t="str">
        <x:v>attempt-0001</x:v>
      </x:c>
      <x:c r="D65" s="2" t="str">
        <x:v>resolved</x:v>
      </x:c>
      <x:c r="E65" s="2" t="str">
        <x:v>finished</x:v>
      </x:c>
      <x:c r="F65" s="2" t="str">
        <x:v>completed</x:v>
      </x:c>
      <x:c r="G65" s="13" t="n">
        <x:v>1</x:v>
      </x:c>
      <x:c r="H65" s="13" t="n">
        <x:v>1</x:v>
      </x:c>
      <x:c r="I65" s="13" t="n">
        <x:v>1</x:v>
      </x:c>
      <x:c r="J65" s="2" t="str">
        <x:v>通过</x:v>
      </x:c>
      <x:c r="K65" s="2" t="str">
        <x:v>nonempty</x:v>
      </x:c>
      <x:c r="L65" s="2" t="str">
        <x:v>resolved</x:v>
      </x:c>
      <x:c r="M65" s="11" t="n">
        <x:v>19</x:v>
      </x:c>
      <x:c r="N65" s="11" t="n">
        <x:v>181899</x:v>
      </x:c>
      <x:c r="O65" s="12" t="n">
        <x:v>45.392</x:v>
      </x:c>
      <x:c r="P65" s="9" t="str"/>
      <x:c r="Q65" s="9" t="str">
        <x:v>task_output-wsl/lite-baseline-001/instances/django__django-12747/attempt-0001/state.json</x:v>
      </x:c>
      <x:c r="R65" s="2" t="n">
        <x:v>1</x:v>
      </x:c>
    </x:row>
    <x:row r="66" ht="44" customHeight="1">
      <x:c r="A66" s="2" t="str">
        <x:v>django__django-12856</x:v>
      </x:c>
      <x:c r="B66" s="2" t="str">
        <x:v>django/django</x:v>
      </x:c>
      <x:c r="C66" s="2" t="str">
        <x:v>attempt-0001</x:v>
      </x:c>
      <x:c r="D66" s="2" t="str">
        <x:v>resolved</x:v>
      </x:c>
      <x:c r="E66" s="2" t="str">
        <x:v>finished</x:v>
      </x:c>
      <x:c r="F66" s="2" t="str">
        <x:v>completed</x:v>
      </x:c>
      <x:c r="G66" s="13" t="n">
        <x:v>1</x:v>
      </x:c>
      <x:c r="H66" s="13" t="n">
        <x:v>1</x:v>
      </x:c>
      <x:c r="I66" s="13" t="n">
        <x:v>1</x:v>
      </x:c>
      <x:c r="J66" s="2" t="str">
        <x:v>通过</x:v>
      </x:c>
      <x:c r="K66" s="2" t="str">
        <x:v>nonempty</x:v>
      </x:c>
      <x:c r="L66" s="2" t="str">
        <x:v>resolved</x:v>
      </x:c>
      <x:c r="M66" s="11" t="n">
        <x:v>25</x:v>
      </x:c>
      <x:c r="N66" s="11" t="n">
        <x:v>236998</x:v>
      </x:c>
      <x:c r="O66" s="12" t="n">
        <x:v>46.056</x:v>
      </x:c>
      <x:c r="P66" s="9" t="str"/>
      <x:c r="Q66" s="9" t="str">
        <x:v>task_output-wsl/lite-baseline-001/instances/django__django-12856/attempt-0001/state.json</x:v>
      </x:c>
      <x:c r="R66" s="2" t="n">
        <x:v>1</x:v>
      </x:c>
    </x:row>
    <x:row r="67" ht="44" customHeight="1">
      <x:c r="A67" s="2" t="str">
        <x:v>django__django-12908</x:v>
      </x:c>
      <x:c r="B67" s="2" t="str">
        <x:v>django/django</x:v>
      </x:c>
      <x:c r="C67" s="2" t="str">
        <x:v>attempt-0001</x:v>
      </x:c>
      <x:c r="D67" s="2" t="str">
        <x:v>resolved</x:v>
      </x:c>
      <x:c r="E67" s="2" t="str">
        <x:v>finished</x:v>
      </x:c>
      <x:c r="F67" s="2" t="str">
        <x:v>completed</x:v>
      </x:c>
      <x:c r="G67" s="13" t="n">
        <x:v>1</x:v>
      </x:c>
      <x:c r="H67" s="13" t="n">
        <x:v>1</x:v>
      </x:c>
      <x:c r="I67" s="13" t="n">
        <x:v>1</x:v>
      </x:c>
      <x:c r="J67" s="2" t="str">
        <x:v>通过</x:v>
      </x:c>
      <x:c r="K67" s="2" t="str">
        <x:v>nonempty</x:v>
      </x:c>
      <x:c r="L67" s="2" t="str">
        <x:v>resolved</x:v>
      </x:c>
      <x:c r="M67" s="11" t="n">
        <x:v>14</x:v>
      </x:c>
      <x:c r="N67" s="11" t="n">
        <x:v>123626</x:v>
      </x:c>
      <x:c r="O67" s="12" t="n">
        <x:v>26.011</x:v>
      </x:c>
      <x:c r="P67" s="9" t="str"/>
      <x:c r="Q67" s="9" t="str">
        <x:v>task_output-wsl/lite-baseline-001/instances/django__django-12908/attempt-0001/state.json</x:v>
      </x:c>
      <x:c r="R67" s="2" t="n">
        <x:v>1</x:v>
      </x:c>
    </x:row>
    <x:row r="68" ht="44" customHeight="1">
      <x:c r="A68" s="2" t="str">
        <x:v>django__django-12915</x:v>
      </x:c>
      <x:c r="B68" s="2" t="str">
        <x:v>django/django</x:v>
      </x:c>
      <x:c r="C68" s="2" t="str">
        <x:v>attempt-0001</x:v>
      </x:c>
      <x:c r="D68" s="2" t="str">
        <x:v>resolved</x:v>
      </x:c>
      <x:c r="E68" s="2" t="str">
        <x:v>finished</x:v>
      </x:c>
      <x:c r="F68" s="2" t="str">
        <x:v>completed</x:v>
      </x:c>
      <x:c r="G68" s="13" t="n">
        <x:v>1</x:v>
      </x:c>
      <x:c r="H68" s="13" t="n">
        <x:v>1</x:v>
      </x:c>
      <x:c r="I68" s="13" t="n">
        <x:v>1</x:v>
      </x:c>
      <x:c r="J68" s="2" t="str">
        <x:v>通过</x:v>
      </x:c>
      <x:c r="K68" s="2" t="str">
        <x:v>nonempty</x:v>
      </x:c>
      <x:c r="L68" s="2" t="str">
        <x:v>resolved</x:v>
      </x:c>
      <x:c r="M68" s="11" t="n">
        <x:v>20</x:v>
      </x:c>
      <x:c r="N68" s="11" t="n">
        <x:v>179728</x:v>
      </x:c>
      <x:c r="O68" s="12" t="n">
        <x:v>33.126</x:v>
      </x:c>
      <x:c r="P68" s="9" t="str"/>
      <x:c r="Q68" s="9" t="str">
        <x:v>task_output-wsl/lite-baseline-001/instances/django__django-12915/attempt-0001/state.json</x:v>
      </x:c>
      <x:c r="R68" s="2" t="n">
        <x:v>1</x:v>
      </x:c>
    </x:row>
    <x:row r="69" ht="44" customHeight="1">
      <x:c r="A69" s="2" t="str">
        <x:v>django__django-12983</x:v>
      </x:c>
      <x:c r="B69" s="2" t="str">
        <x:v>django/django</x:v>
      </x:c>
      <x:c r="C69" s="2" t="str">
        <x:v>attempt-0001</x:v>
      </x:c>
      <x:c r="D69" s="2" t="str">
        <x:v>resolved</x:v>
      </x:c>
      <x:c r="E69" s="2" t="str">
        <x:v>finished</x:v>
      </x:c>
      <x:c r="F69" s="2" t="str">
        <x:v>completed</x:v>
      </x:c>
      <x:c r="G69" s="13" t="n">
        <x:v>1</x:v>
      </x:c>
      <x:c r="H69" s="13" t="n">
        <x:v>1</x:v>
      </x:c>
      <x:c r="I69" s="13" t="n">
        <x:v>1</x:v>
      </x:c>
      <x:c r="J69" s="2" t="str">
        <x:v>通过</x:v>
      </x:c>
      <x:c r="K69" s="2" t="str">
        <x:v>nonempty</x:v>
      </x:c>
      <x:c r="L69" s="2" t="str">
        <x:v>resolved</x:v>
      </x:c>
      <x:c r="M69" s="11" t="n">
        <x:v>8</x:v>
      </x:c>
      <x:c r="N69" s="11" t="n">
        <x:v>35547</x:v>
      </x:c>
      <x:c r="O69" s="12" t="n">
        <x:v>13.791</x:v>
      </x:c>
      <x:c r="P69" s="9" t="str"/>
      <x:c r="Q69" s="9" t="str">
        <x:v>task_output-wsl/lite-baseline-001/instances/django__django-12983/attempt-0001/state.json</x:v>
      </x:c>
      <x:c r="R69" s="2" t="n">
        <x:v>1</x:v>
      </x:c>
    </x:row>
    <x:row r="70" ht="44" customHeight="1">
      <x:c r="A70" s="2" t="str">
        <x:v>django__django-13028</x:v>
      </x:c>
      <x:c r="B70" s="2" t="str">
        <x:v>django/django</x:v>
      </x:c>
      <x:c r="C70" s="2" t="str">
        <x:v>attempt-0001</x:v>
      </x:c>
      <x:c r="D70" s="2" t="str">
        <x:v>resolved</x:v>
      </x:c>
      <x:c r="E70" s="2" t="str">
        <x:v>finished</x:v>
      </x:c>
      <x:c r="F70" s="2" t="str">
        <x:v>completed</x:v>
      </x:c>
      <x:c r="G70" s="13" t="n">
        <x:v>1</x:v>
      </x:c>
      <x:c r="H70" s="13" t="n">
        <x:v>1</x:v>
      </x:c>
      <x:c r="I70" s="13" t="n">
        <x:v>1</x:v>
      </x:c>
      <x:c r="J70" s="2" t="str">
        <x:v>通过</x:v>
      </x:c>
      <x:c r="K70" s="2" t="str">
        <x:v>nonempty</x:v>
      </x:c>
      <x:c r="L70" s="2" t="str">
        <x:v>resolved</x:v>
      </x:c>
      <x:c r="M70" s="11" t="n">
        <x:v>25</x:v>
      </x:c>
      <x:c r="N70" s="11" t="n">
        <x:v>231437</x:v>
      </x:c>
      <x:c r="O70" s="12" t="n">
        <x:v>61.836</x:v>
      </x:c>
      <x:c r="P70" s="9" t="str"/>
      <x:c r="Q70" s="9" t="str">
        <x:v>task_output-wsl/lite-baseline-001/instances/django__django-13028/attempt-0001/state.json</x:v>
      </x:c>
      <x:c r="R70" s="2" t="n">
        <x:v>1</x:v>
      </x:c>
    </x:row>
    <x:row r="71" ht="44" customHeight="1">
      <x:c r="A71" s="2" t="str">
        <x:v>django__django-13033</x:v>
      </x:c>
      <x:c r="B71" s="2" t="str">
        <x:v>django/django</x:v>
      </x:c>
      <x:c r="C71" s="2" t="str">
        <x:v>attempt-0001</x:v>
      </x:c>
      <x:c r="D71" s="2" t="str">
        <x:v>resolved</x:v>
      </x:c>
      <x:c r="E71" s="2" t="str">
        <x:v>finished</x:v>
      </x:c>
      <x:c r="F71" s="2" t="str">
        <x:v>completed</x:v>
      </x:c>
      <x:c r="G71" s="13" t="n">
        <x:v>1</x:v>
      </x:c>
      <x:c r="H71" s="13" t="n">
        <x:v>1</x:v>
      </x:c>
      <x:c r="I71" s="13" t="n">
        <x:v>1</x:v>
      </x:c>
      <x:c r="J71" s="2" t="str">
        <x:v>通过</x:v>
      </x:c>
      <x:c r="K71" s="2" t="str">
        <x:v>nonempty</x:v>
      </x:c>
      <x:c r="L71" s="2" t="str">
        <x:v>resolved</x:v>
      </x:c>
      <x:c r="M71" s="11" t="n">
        <x:v>37</x:v>
      </x:c>
      <x:c r="N71" s="11" t="n">
        <x:v>370719</x:v>
      </x:c>
      <x:c r="O71" s="12" t="n">
        <x:v>77.384</x:v>
      </x:c>
      <x:c r="P71" s="9" t="str"/>
      <x:c r="Q71" s="9" t="str">
        <x:v>task_output-wsl/lite-baseline-001/instances/django__django-13033/attempt-0001/state.json</x:v>
      </x:c>
      <x:c r="R71" s="2" t="n">
        <x:v>1</x:v>
      </x:c>
    </x:row>
    <x:row r="72" ht="44" customHeight="1">
      <x:c r="A72" s="2" t="str">
        <x:v>django__django-13158</x:v>
      </x:c>
      <x:c r="B72" s="2" t="str">
        <x:v>django/django</x:v>
      </x:c>
      <x:c r="C72" s="2" t="str">
        <x:v>attempt-0001</x:v>
      </x:c>
      <x:c r="D72" s="2" t="str">
        <x:v>resolved</x:v>
      </x:c>
      <x:c r="E72" s="2" t="str">
        <x:v>finished</x:v>
      </x:c>
      <x:c r="F72" s="2" t="str">
        <x:v>completed</x:v>
      </x:c>
      <x:c r="G72" s="13" t="n">
        <x:v>1</x:v>
      </x:c>
      <x:c r="H72" s="13" t="n">
        <x:v>1</x:v>
      </x:c>
      <x:c r="I72" s="13" t="n">
        <x:v>1</x:v>
      </x:c>
      <x:c r="J72" s="2" t="str">
        <x:v>通过</x:v>
      </x:c>
      <x:c r="K72" s="2" t="str">
        <x:v>nonempty</x:v>
      </x:c>
      <x:c r="L72" s="2" t="str">
        <x:v>resolved</x:v>
      </x:c>
      <x:c r="M72" s="11" t="n">
        <x:v>45</x:v>
      </x:c>
      <x:c r="N72" s="11" t="n">
        <x:v>456503</x:v>
      </x:c>
      <x:c r="O72" s="12" t="n">
        <x:v>146.478</x:v>
      </x:c>
      <x:c r="P72" s="9" t="str"/>
      <x:c r="Q72" s="9" t="str">
        <x:v>task_output-wsl/lite-baseline-001/instances/django__django-13158/attempt-0001/state.json</x:v>
      </x:c>
      <x:c r="R72" s="2" t="n">
        <x:v>1</x:v>
      </x:c>
    </x:row>
    <x:row r="73" ht="44" customHeight="1">
      <x:c r="A73" s="2" t="str">
        <x:v>django__django-13220</x:v>
      </x:c>
      <x:c r="B73" s="2" t="str">
        <x:v>django/django</x:v>
      </x:c>
      <x:c r="C73" s="2" t="str">
        <x:v>attempt-0001</x:v>
      </x:c>
      <x:c r="D73" s="2" t="str">
        <x:v>resolved</x:v>
      </x:c>
      <x:c r="E73" s="2" t="str">
        <x:v>finished</x:v>
      </x:c>
      <x:c r="F73" s="2" t="str">
        <x:v>completed</x:v>
      </x:c>
      <x:c r="G73" s="13" t="n">
        <x:v>1</x:v>
      </x:c>
      <x:c r="H73" s="13" t="n">
        <x:v>1</x:v>
      </x:c>
      <x:c r="I73" s="13" t="n">
        <x:v>1</x:v>
      </x:c>
      <x:c r="J73" s="2" t="str">
        <x:v>通过</x:v>
      </x:c>
      <x:c r="K73" s="2" t="str">
        <x:v>nonempty</x:v>
      </x:c>
      <x:c r="L73" s="2" t="str">
        <x:v>resolved</x:v>
      </x:c>
      <x:c r="M73" s="11" t="n">
        <x:v>34</x:v>
      </x:c>
      <x:c r="N73" s="11" t="n">
        <x:v>340009</x:v>
      </x:c>
      <x:c r="O73" s="12" t="n">
        <x:v>82.322</x:v>
      </x:c>
      <x:c r="P73" s="9" t="str"/>
      <x:c r="Q73" s="9" t="str">
        <x:v>task_output-wsl/lite-baseline-001/instances/django__django-13220/attempt-0001/state.json</x:v>
      </x:c>
      <x:c r="R73" s="2" t="n">
        <x:v>1</x:v>
      </x:c>
    </x:row>
    <x:row r="74" ht="44" customHeight="1">
      <x:c r="A74" s="2" t="str">
        <x:v>django__django-13230</x:v>
      </x:c>
      <x:c r="B74" s="2" t="str">
        <x:v>django/django</x:v>
      </x:c>
      <x:c r="C74" s="2" t="str">
        <x:v>attempt-0001</x:v>
      </x:c>
      <x:c r="D74" s="2" t="str">
        <x:v>resolved</x:v>
      </x:c>
      <x:c r="E74" s="2" t="str">
        <x:v>finished</x:v>
      </x:c>
      <x:c r="F74" s="2" t="str">
        <x:v>completed</x:v>
      </x:c>
      <x:c r="G74" s="13" t="n">
        <x:v>1</x:v>
      </x:c>
      <x:c r="H74" s="13" t="n">
        <x:v>1</x:v>
      </x:c>
      <x:c r="I74" s="13" t="n">
        <x:v>1</x:v>
      </x:c>
      <x:c r="J74" s="2" t="str">
        <x:v>通过</x:v>
      </x:c>
      <x:c r="K74" s="2" t="str">
        <x:v>nonempty</x:v>
      </x:c>
      <x:c r="L74" s="2" t="str">
        <x:v>resolved</x:v>
      </x:c>
      <x:c r="M74" s="11" t="n">
        <x:v>16</x:v>
      </x:c>
      <x:c r="N74" s="11" t="n">
        <x:v>149710</x:v>
      </x:c>
      <x:c r="O74" s="12" t="n">
        <x:v>67.568</x:v>
      </x:c>
      <x:c r="P74" s="9" t="str"/>
      <x:c r="Q74" s="9" t="str">
        <x:v>task_output-wsl/lite-baseline-001/instances/django__django-13230/attempt-0001/state.json</x:v>
      </x:c>
      <x:c r="R74" s="2" t="n">
        <x:v>1</x:v>
      </x:c>
    </x:row>
    <x:row r="75" ht="44" customHeight="1">
      <x:c r="A75" s="2" t="str">
        <x:v>django__django-13265</x:v>
      </x:c>
      <x:c r="B75" s="2" t="str">
        <x:v>django/django</x:v>
      </x:c>
      <x:c r="C75" s="2" t="str">
        <x:v>attempt-0001</x:v>
      </x:c>
      <x:c r="D75" s="2" t="str">
        <x:v>resolved</x:v>
      </x:c>
      <x:c r="E75" s="2" t="str">
        <x:v>finished</x:v>
      </x:c>
      <x:c r="F75" s="2" t="str">
        <x:v>completed</x:v>
      </x:c>
      <x:c r="G75" s="13" t="n">
        <x:v>1</x:v>
      </x:c>
      <x:c r="H75" s="13" t="n">
        <x:v>1</x:v>
      </x:c>
      <x:c r="I75" s="13" t="n">
        <x:v>1</x:v>
      </x:c>
      <x:c r="J75" s="2" t="str">
        <x:v>通过</x:v>
      </x:c>
      <x:c r="K75" s="2" t="str">
        <x:v>nonempty</x:v>
      </x:c>
      <x:c r="L75" s="2" t="str">
        <x:v>resolved</x:v>
      </x:c>
      <x:c r="M75" s="11" t="n">
        <x:v>45</x:v>
      </x:c>
      <x:c r="N75" s="11" t="n">
        <x:v>499565</x:v>
      </x:c>
      <x:c r="O75" s="12" t="n">
        <x:v>100.701</x:v>
      </x:c>
      <x:c r="P75" s="9" t="str"/>
      <x:c r="Q75" s="9" t="str">
        <x:v>task_output-wsl/lite-baseline-001/instances/django__django-13265/attempt-0001/state.json</x:v>
      </x:c>
      <x:c r="R75" s="2" t="n">
        <x:v>1</x:v>
      </x:c>
    </x:row>
    <x:row r="76" ht="44" customHeight="1">
      <x:c r="A76" s="2" t="str">
        <x:v>django__django-13315</x:v>
      </x:c>
      <x:c r="B76" s="2" t="str">
        <x:v>django/django</x:v>
      </x:c>
      <x:c r="C76" s="2" t="str">
        <x:v>attempt-0001</x:v>
      </x:c>
      <x:c r="D76" s="2" t="str">
        <x:v>resolved</x:v>
      </x:c>
      <x:c r="E76" s="2" t="str">
        <x:v>finished</x:v>
      </x:c>
      <x:c r="F76" s="2" t="str">
        <x:v>completed</x:v>
      </x:c>
      <x:c r="G76" s="13" t="n">
        <x:v>1</x:v>
      </x:c>
      <x:c r="H76" s="13" t="n">
        <x:v>1</x:v>
      </x:c>
      <x:c r="I76" s="13" t="n">
        <x:v>1</x:v>
      </x:c>
      <x:c r="J76" s="2" t="str">
        <x:v>通过</x:v>
      </x:c>
      <x:c r="K76" s="2" t="str">
        <x:v>nonempty</x:v>
      </x:c>
      <x:c r="L76" s="2" t="str">
        <x:v>resolved</x:v>
      </x:c>
      <x:c r="M76" s="11" t="n">
        <x:v>59</x:v>
      </x:c>
      <x:c r="N76" s="11" t="n">
        <x:v>586769</x:v>
      </x:c>
      <x:c r="O76" s="12" t="n">
        <x:v>163.956</x:v>
      </x:c>
      <x:c r="P76" s="9" t="str"/>
      <x:c r="Q76" s="9" t="str">
        <x:v>task_output-wsl/lite-baseline-001/instances/django__django-13315/attempt-0001/state.json</x:v>
      </x:c>
      <x:c r="R76" s="2" t="n">
        <x:v>1</x:v>
      </x:c>
    </x:row>
    <x:row r="77" ht="44" customHeight="1">
      <x:c r="A77" s="2" t="str">
        <x:v>django__django-13321</x:v>
      </x:c>
      <x:c r="B77" s="2" t="str">
        <x:v>django/django</x:v>
      </x:c>
      <x:c r="C77" s="2" t="str">
        <x:v>attempt-0001</x:v>
      </x:c>
      <x:c r="D77" s="2" t="str">
        <x:v>resolved</x:v>
      </x:c>
      <x:c r="E77" s="2" t="str">
        <x:v>finished</x:v>
      </x:c>
      <x:c r="F77" s="2" t="str">
        <x:v>completed</x:v>
      </x:c>
      <x:c r="G77" s="13" t="n">
        <x:v>1</x:v>
      </x:c>
      <x:c r="H77" s="13" t="n">
        <x:v>1</x:v>
      </x:c>
      <x:c r="I77" s="13" t="n">
        <x:v>1</x:v>
      </x:c>
      <x:c r="J77" s="2" t="str">
        <x:v>通过</x:v>
      </x:c>
      <x:c r="K77" s="2" t="str">
        <x:v>nonempty</x:v>
      </x:c>
      <x:c r="L77" s="2" t="str">
        <x:v>resolved</x:v>
      </x:c>
      <x:c r="M77" s="11" t="n">
        <x:v>13</x:v>
      </x:c>
      <x:c r="N77" s="11" t="n">
        <x:v>127749</x:v>
      </x:c>
      <x:c r="O77" s="12" t="n">
        <x:v>38.78</x:v>
      </x:c>
      <x:c r="P77" s="9" t="str"/>
      <x:c r="Q77" s="9" t="str">
        <x:v>task_output-wsl/lite-baseline-001/instances/django__django-13321/attempt-0001/state.json</x:v>
      </x:c>
      <x:c r="R77" s="2" t="n">
        <x:v>1</x:v>
      </x:c>
    </x:row>
    <x:row r="78" ht="44" customHeight="1">
      <x:c r="A78" s="2" t="str">
        <x:v>django__django-13401</x:v>
      </x:c>
      <x:c r="B78" s="2" t="str">
        <x:v>django/django</x:v>
      </x:c>
      <x:c r="C78" s="2" t="str">
        <x:v>attempt-0001</x:v>
      </x:c>
      <x:c r="D78" s="2" t="str">
        <x:v>resolved</x:v>
      </x:c>
      <x:c r="E78" s="2" t="str">
        <x:v>finished</x:v>
      </x:c>
      <x:c r="F78" s="2" t="str">
        <x:v>completed</x:v>
      </x:c>
      <x:c r="G78" s="13" t="n">
        <x:v>1</x:v>
      </x:c>
      <x:c r="H78" s="13" t="n">
        <x:v>1</x:v>
      </x:c>
      <x:c r="I78" s="13" t="n">
        <x:v>1</x:v>
      </x:c>
      <x:c r="J78" s="2" t="str">
        <x:v>通过</x:v>
      </x:c>
      <x:c r="K78" s="2" t="str">
        <x:v>nonempty</x:v>
      </x:c>
      <x:c r="L78" s="2" t="str">
        <x:v>resolved</x:v>
      </x:c>
      <x:c r="M78" s="11" t="n">
        <x:v>13</x:v>
      </x:c>
      <x:c r="N78" s="11" t="n">
        <x:v>110906</x:v>
      </x:c>
      <x:c r="O78" s="12" t="n">
        <x:v>42.999</x:v>
      </x:c>
      <x:c r="P78" s="9" t="str"/>
      <x:c r="Q78" s="9" t="str">
        <x:v>task_output-wsl/lite-baseline-001/instances/django__django-13401/attempt-0001/state.json</x:v>
      </x:c>
      <x:c r="R78" s="2" t="n">
        <x:v>1</x:v>
      </x:c>
    </x:row>
    <x:row r="79" ht="44" customHeight="1">
      <x:c r="A79" s="2" t="str">
        <x:v>django__django-13447</x:v>
      </x:c>
      <x:c r="B79" s="2" t="str">
        <x:v>django/django</x:v>
      </x:c>
      <x:c r="C79" s="2" t="str">
        <x:v>attempt-0001</x:v>
      </x:c>
      <x:c r="D79" s="2" t="str">
        <x:v>resolved</x:v>
      </x:c>
      <x:c r="E79" s="2" t="str">
        <x:v>finished</x:v>
      </x:c>
      <x:c r="F79" s="2" t="str">
        <x:v>completed</x:v>
      </x:c>
      <x:c r="G79" s="13" t="n">
        <x:v>1</x:v>
      </x:c>
      <x:c r="H79" s="13" t="n">
        <x:v>1</x:v>
      </x:c>
      <x:c r="I79" s="13" t="n">
        <x:v>1</x:v>
      </x:c>
      <x:c r="J79" s="2" t="str">
        <x:v>通过</x:v>
      </x:c>
      <x:c r="K79" s="2" t="str">
        <x:v>nonempty</x:v>
      </x:c>
      <x:c r="L79" s="2" t="str">
        <x:v>resolved</x:v>
      </x:c>
      <x:c r="M79" s="11" t="n">
        <x:v>21</x:v>
      </x:c>
      <x:c r="N79" s="11" t="n">
        <x:v>207608</x:v>
      </x:c>
      <x:c r="O79" s="12" t="n">
        <x:v>95.625</x:v>
      </x:c>
      <x:c r="P79" s="9" t="str"/>
      <x:c r="Q79" s="9" t="str">
        <x:v>task_output-wsl/lite-baseline-001/instances/django__django-13447/attempt-0001/state.json</x:v>
      </x:c>
      <x:c r="R79" s="2" t="n">
        <x:v>1</x:v>
      </x:c>
    </x:row>
    <x:row r="80" ht="44" customHeight="1">
      <x:c r="A80" s="2" t="str">
        <x:v>django__django-13448</x:v>
      </x:c>
      <x:c r="B80" s="2" t="str">
        <x:v>django/django</x:v>
      </x:c>
      <x:c r="C80" s="2" t="str">
        <x:v>attempt-0001</x:v>
      </x:c>
      <x:c r="D80" s="2" t="str">
        <x:v>resolved</x:v>
      </x:c>
      <x:c r="E80" s="2" t="str">
        <x:v>finished</x:v>
      </x:c>
      <x:c r="F80" s="2" t="str">
        <x:v>completed</x:v>
      </x:c>
      <x:c r="G80" s="13" t="n">
        <x:v>1</x:v>
      </x:c>
      <x:c r="H80" s="13" t="n">
        <x:v>1</x:v>
      </x:c>
      <x:c r="I80" s="13" t="n">
        <x:v>1</x:v>
      </x:c>
      <x:c r="J80" s="2" t="str">
        <x:v>通过</x:v>
      </x:c>
      <x:c r="K80" s="2" t="str">
        <x:v>nonempty</x:v>
      </x:c>
      <x:c r="L80" s="2" t="str">
        <x:v>resolved</x:v>
      </x:c>
      <x:c r="M80" s="11" t="n">
        <x:v>39</x:v>
      </x:c>
      <x:c r="N80" s="11" t="n">
        <x:v>425102</x:v>
      </x:c>
      <x:c r="O80" s="12" t="n">
        <x:v>101.034</x:v>
      </x:c>
      <x:c r="P80" s="9" t="str"/>
      <x:c r="Q80" s="9" t="str">
        <x:v>task_output-wsl/lite-baseline-001/instances/django__django-13448/attempt-0001/state.json</x:v>
      </x:c>
      <x:c r="R80" s="2" t="n">
        <x:v>1</x:v>
      </x:c>
    </x:row>
    <x:row r="81" ht="44" customHeight="1">
      <x:c r="A81" s="2" t="str">
        <x:v>django__django-13551</x:v>
      </x:c>
      <x:c r="B81" s="2" t="str">
        <x:v>django/django</x:v>
      </x:c>
      <x:c r="C81" s="2" t="str">
        <x:v>attempt-0001</x:v>
      </x:c>
      <x:c r="D81" s="2" t="str">
        <x:v>resolved</x:v>
      </x:c>
      <x:c r="E81" s="2" t="str">
        <x:v>finished</x:v>
      </x:c>
      <x:c r="F81" s="2" t="str">
        <x:v>completed</x:v>
      </x:c>
      <x:c r="G81" s="13" t="n">
        <x:v>1</x:v>
      </x:c>
      <x:c r="H81" s="13" t="n">
        <x:v>1</x:v>
      </x:c>
      <x:c r="I81" s="13" t="n">
        <x:v>1</x:v>
      </x:c>
      <x:c r="J81" s="2" t="str">
        <x:v>通过</x:v>
      </x:c>
      <x:c r="K81" s="2" t="str">
        <x:v>nonempty</x:v>
      </x:c>
      <x:c r="L81" s="2" t="str">
        <x:v>resolved</x:v>
      </x:c>
      <x:c r="M81" s="11" t="n">
        <x:v>13</x:v>
      </x:c>
      <x:c r="N81" s="11" t="n">
        <x:v>112942</x:v>
      </x:c>
      <x:c r="O81" s="12" t="n">
        <x:v>40.094</x:v>
      </x:c>
      <x:c r="P81" s="9" t="str"/>
      <x:c r="Q81" s="9" t="str">
        <x:v>task_output-wsl/lite-baseline-001/instances/django__django-13551/attempt-0001/state.json</x:v>
      </x:c>
      <x:c r="R81" s="2" t="n">
        <x:v>1</x:v>
      </x:c>
    </x:row>
    <x:row r="82" ht="44" customHeight="1">
      <x:c r="A82" s="2" t="str">
        <x:v>django__django-13590</x:v>
      </x:c>
      <x:c r="B82" s="2" t="str">
        <x:v>django/django</x:v>
      </x:c>
      <x:c r="C82" s="2" t="str">
        <x:v>attempt-0001</x:v>
      </x:c>
      <x:c r="D82" s="2" t="str">
        <x:v>resolved</x:v>
      </x:c>
      <x:c r="E82" s="2" t="str">
        <x:v>finished</x:v>
      </x:c>
      <x:c r="F82" s="2" t="str">
        <x:v>completed</x:v>
      </x:c>
      <x:c r="G82" s="13" t="n">
        <x:v>1</x:v>
      </x:c>
      <x:c r="H82" s="13" t="n">
        <x:v>1</x:v>
      </x:c>
      <x:c r="I82" s="13" t="n">
        <x:v>1</x:v>
      </x:c>
      <x:c r="J82" s="2" t="str">
        <x:v>通过</x:v>
      </x:c>
      <x:c r="K82" s="2" t="str">
        <x:v>nonempty</x:v>
      </x:c>
      <x:c r="L82" s="2" t="str">
        <x:v>resolved</x:v>
      </x:c>
      <x:c r="M82" s="11" t="n">
        <x:v>17</x:v>
      </x:c>
      <x:c r="N82" s="11" t="n">
        <x:v>96671</x:v>
      </x:c>
      <x:c r="O82" s="12" t="n">
        <x:v>39.998</x:v>
      </x:c>
      <x:c r="P82" s="9" t="str"/>
      <x:c r="Q82" s="9" t="str">
        <x:v>task_output-wsl/lite-baseline-001/instances/django__django-13590/attempt-0001/state.json</x:v>
      </x:c>
      <x:c r="R82" s="2" t="n">
        <x:v>1</x:v>
      </x:c>
    </x:row>
    <x:row r="83" ht="44" customHeight="1">
      <x:c r="A83" s="2" t="str">
        <x:v>django__django-13658</x:v>
      </x:c>
      <x:c r="B83" s="2" t="str">
        <x:v>django/django</x:v>
      </x:c>
      <x:c r="C83" s="2" t="str">
        <x:v>attempt-0001</x:v>
      </x:c>
      <x:c r="D83" s="2" t="str">
        <x:v>resolved</x:v>
      </x:c>
      <x:c r="E83" s="2" t="str">
        <x:v>finished</x:v>
      </x:c>
      <x:c r="F83" s="2" t="str">
        <x:v>completed</x:v>
      </x:c>
      <x:c r="G83" s="13" t="n">
        <x:v>1</x:v>
      </x:c>
      <x:c r="H83" s="13" t="n">
        <x:v>1</x:v>
      </x:c>
      <x:c r="I83" s="13" t="n">
        <x:v>1</x:v>
      </x:c>
      <x:c r="J83" s="2" t="str">
        <x:v>通过</x:v>
      </x:c>
      <x:c r="K83" s="2" t="str">
        <x:v>nonempty</x:v>
      </x:c>
      <x:c r="L83" s="2" t="str">
        <x:v>resolved</x:v>
      </x:c>
      <x:c r="M83" s="11" t="n">
        <x:v>12</x:v>
      </x:c>
      <x:c r="N83" s="11" t="n">
        <x:v>49270</x:v>
      </x:c>
      <x:c r="O83" s="12" t="n">
        <x:v>35.806</x:v>
      </x:c>
      <x:c r="P83" s="9" t="str"/>
      <x:c r="Q83" s="9" t="str">
        <x:v>task_output-wsl/lite-baseline-001/instances/django__django-13658/attempt-0001/state.json</x:v>
      </x:c>
      <x:c r="R83" s="2" t="n">
        <x:v>1</x:v>
      </x:c>
    </x:row>
    <x:row r="84" ht="44" customHeight="1">
      <x:c r="A84" s="2" t="str">
        <x:v>django__django-13660</x:v>
      </x:c>
      <x:c r="B84" s="2" t="str">
        <x:v>django/django</x:v>
      </x:c>
      <x:c r="C84" s="2" t="str">
        <x:v>attempt-0001</x:v>
      </x:c>
      <x:c r="D84" s="2" t="str">
        <x:v>unresolved</x:v>
      </x:c>
      <x:c r="E84" s="2" t="str">
        <x:v>finished</x:v>
      </x:c>
      <x:c r="F84" s="2" t="str">
        <x:v>completed</x:v>
      </x:c>
      <x:c r="G84" s="13" t="n">
        <x:v>1</x:v>
      </x:c>
      <x:c r="H84" s="13" t="n">
        <x:v>1</x:v>
      </x:c>
      <x:c r="I84" s="13" t="n">
        <x:v>1</x:v>
      </x:c>
      <x:c r="J84" s="2" t="str">
        <x:v>通过</x:v>
      </x:c>
      <x:c r="K84" s="2" t="str">
        <x:v>nonempty</x:v>
      </x:c>
      <x:c r="L84" s="2" t="str">
        <x:v>unresolved</x:v>
      </x:c>
      <x:c r="M84" s="11" t="n">
        <x:v>10</x:v>
      </x:c>
      <x:c r="N84" s="11" t="n">
        <x:v>71040</x:v>
      </x:c>
      <x:c r="O84" s="12" t="n">
        <x:v>23.247</x:v>
      </x:c>
      <x:c r="P84" s="9" t="str"/>
      <x:c r="Q84" s="9" t="str">
        <x:v>task_output-wsl/lite-baseline-001/instances/django__django-13660/attempt-0001/state.json</x:v>
      </x:c>
      <x:c r="R84" s="2" t="n">
        <x:v>1</x:v>
      </x:c>
    </x:row>
    <x:row r="85" ht="44" customHeight="1">
      <x:c r="A85" s="2" t="str">
        <x:v>django__django-13710</x:v>
      </x:c>
      <x:c r="B85" s="2" t="str">
        <x:v>django/django</x:v>
      </x:c>
      <x:c r="C85" s="2" t="str">
        <x:v>attempt-0001</x:v>
      </x:c>
      <x:c r="D85" s="2" t="str">
        <x:v>resolved</x:v>
      </x:c>
      <x:c r="E85" s="2" t="str">
        <x:v>finished</x:v>
      </x:c>
      <x:c r="F85" s="2" t="str">
        <x:v>completed</x:v>
      </x:c>
      <x:c r="G85" s="13" t="n">
        <x:v>1</x:v>
      </x:c>
      <x:c r="H85" s="13" t="n">
        <x:v>1</x:v>
      </x:c>
      <x:c r="I85" s="13" t="n">
        <x:v>1</x:v>
      </x:c>
      <x:c r="J85" s="2" t="str">
        <x:v>通过</x:v>
      </x:c>
      <x:c r="K85" s="2" t="str">
        <x:v>nonempty</x:v>
      </x:c>
      <x:c r="L85" s="2" t="str">
        <x:v>resolved</x:v>
      </x:c>
      <x:c r="M85" s="11" t="n">
        <x:v>23</x:v>
      </x:c>
      <x:c r="N85" s="11" t="n">
        <x:v>224283</x:v>
      </x:c>
      <x:c r="O85" s="12" t="n">
        <x:v>76.182</x:v>
      </x:c>
      <x:c r="P85" s="9" t="str"/>
      <x:c r="Q85" s="9" t="str">
        <x:v>task_output-wsl/lite-baseline-001/instances/django__django-13710/attempt-0001/state.json</x:v>
      </x:c>
      <x:c r="R85" s="2" t="n">
        <x:v>1</x:v>
      </x:c>
    </x:row>
    <x:row r="86" ht="44" customHeight="1">
      <x:c r="A86" s="2" t="str">
        <x:v>django__django-13757</x:v>
      </x:c>
      <x:c r="B86" s="2" t="str">
        <x:v>django/django</x:v>
      </x:c>
      <x:c r="C86" s="2" t="str">
        <x:v>attempt-0001</x:v>
      </x:c>
      <x:c r="D86" s="2" t="str">
        <x:v>resolved</x:v>
      </x:c>
      <x:c r="E86" s="2" t="str">
        <x:v>finished</x:v>
      </x:c>
      <x:c r="F86" s="2" t="str">
        <x:v>completed</x:v>
      </x:c>
      <x:c r="G86" s="13" t="n">
        <x:v>1</x:v>
      </x:c>
      <x:c r="H86" s="13" t="n">
        <x:v>1</x:v>
      </x:c>
      <x:c r="I86" s="13" t="n">
        <x:v>1</x:v>
      </x:c>
      <x:c r="J86" s="2" t="str">
        <x:v>通过</x:v>
      </x:c>
      <x:c r="K86" s="2" t="str">
        <x:v>nonempty</x:v>
      </x:c>
      <x:c r="L86" s="2" t="str">
        <x:v>resolved</x:v>
      </x:c>
      <x:c r="M86" s="11" t="n">
        <x:v>20</x:v>
      </x:c>
      <x:c r="N86" s="11" t="n">
        <x:v>232904</x:v>
      </x:c>
      <x:c r="O86" s="12" t="n">
        <x:v>56.962</x:v>
      </x:c>
      <x:c r="P86" s="9" t="str"/>
      <x:c r="Q86" s="9" t="str">
        <x:v>task_output-wsl/lite-baseline-001/instances/django__django-13757/attempt-0001/state.json</x:v>
      </x:c>
      <x:c r="R86" s="2" t="n">
        <x:v>1</x:v>
      </x:c>
    </x:row>
    <x:row r="87" ht="44" customHeight="1">
      <x:c r="A87" s="2" t="str">
        <x:v>django__django-13768</x:v>
      </x:c>
      <x:c r="B87" s="2" t="str">
        <x:v>django/django</x:v>
      </x:c>
      <x:c r="C87" s="2" t="str">
        <x:v>attempt-0001</x:v>
      </x:c>
      <x:c r="D87" s="2" t="str">
        <x:v>error</x:v>
      </x:c>
      <x:c r="E87" s="2" t="str">
        <x:v>gold</x:v>
      </x:c>
      <x:c r="F87" s="2" t="str">
        <x:v>未启动</x:v>
      </x:c>
      <x:c r="G87" s="13" t="n">
        <x:v>1</x:v>
      </x:c>
      <x:c r="H87" s="13" t="n">
        <x:v>0</x:v>
      </x:c>
      <x:c r="I87" s="13" t="n">
        <x:v>0</x:v>
      </x:c>
      <x:c r="J87" s="2" t="str">
        <x:v>无记录</x:v>
      </x:c>
      <x:c r="K87" s="2" t="str">
        <x:v>not_collected</x:v>
      </x:c>
      <x:c r="L87" s="2" t="str">
        <x:v>not_run</x:v>
      </x:c>
      <x:c r="M87" s="11" t="n">
        <x:v>0</x:v>
      </x:c>
      <x:c r="N87" s="11" t="n">
        <x:v>0</x:v>
      </x:c>
      <x:c r="O87" s="12"/>
      <x:c r="P87" s="9" t="str">
        <x:v>RuntimeError: Official evaluation produced no report; see gold/36822e9dee/harness.log.</x:v>
      </x:c>
      <x:c r="Q87" s="9" t="str">
        <x:v>task_output-wsl/lite-baseline-001/instances/django__django-13768/attempt-0001/state.json</x:v>
      </x:c>
      <x:c r="R87" s="2" t="n">
        <x:v>0</x:v>
      </x:c>
    </x:row>
    <x:row r="88" ht="44" customHeight="1">
      <x:c r="A88" s="2" t="str">
        <x:v>django__django-13768</x:v>
      </x:c>
      <x:c r="B88" s="2" t="str">
        <x:v>django/django</x:v>
      </x:c>
      <x:c r="C88" s="2" t="str">
        <x:v>attempt-0002</x:v>
      </x:c>
      <x:c r="D88" s="2" t="str">
        <x:v>resolved</x:v>
      </x:c>
      <x:c r="E88" s="2" t="str">
        <x:v>finished</x:v>
      </x:c>
      <x:c r="F88" s="2" t="str">
        <x:v>completed</x:v>
      </x:c>
      <x:c r="G88" s="13" t="n">
        <x:v>0</x:v>
      </x:c>
      <x:c r="H88" s="13" t="n">
        <x:v>1</x:v>
      </x:c>
      <x:c r="I88" s="13" t="n">
        <x:v>1</x:v>
      </x:c>
      <x:c r="J88" s="2" t="str">
        <x:v>通过</x:v>
      </x:c>
      <x:c r="K88" s="2" t="str">
        <x:v>nonempty</x:v>
      </x:c>
      <x:c r="L88" s="2" t="str">
        <x:v>resolved</x:v>
      </x:c>
      <x:c r="M88" s="11" t="n">
        <x:v>8</x:v>
      </x:c>
      <x:c r="N88" s="11" t="n">
        <x:v>34468</x:v>
      </x:c>
      <x:c r="O88" s="12" t="n">
        <x:v>13.132</x:v>
      </x:c>
      <x:c r="P88" s="9" t="str"/>
      <x:c r="Q88" s="9" t="str">
        <x:v>task_output-wsl/lite-baseline-001/instances/django__django-13768/attempt-0002/state.json</x:v>
      </x:c>
      <x:c r="R88" s="2" t="n">
        <x:v>1</x:v>
      </x:c>
    </x:row>
    <x:row r="89" ht="44" customHeight="1">
      <x:c r="A89" s="2" t="str">
        <x:v>django__django-13925</x:v>
      </x:c>
      <x:c r="B89" s="2" t="str">
        <x:v>django/django</x:v>
      </x:c>
      <x:c r="C89" s="2" t="str">
        <x:v>attempt-0001</x:v>
      </x:c>
      <x:c r="D89" s="2" t="str">
        <x:v>resolved</x:v>
      </x:c>
      <x:c r="E89" s="2" t="str">
        <x:v>finished</x:v>
      </x:c>
      <x:c r="F89" s="2" t="str">
        <x:v>completed</x:v>
      </x:c>
      <x:c r="G89" s="13" t="n">
        <x:v>1</x:v>
      </x:c>
      <x:c r="H89" s="13" t="n">
        <x:v>1</x:v>
      </x:c>
      <x:c r="I89" s="13" t="n">
        <x:v>1</x:v>
      </x:c>
      <x:c r="J89" s="2" t="str">
        <x:v>通过</x:v>
      </x:c>
      <x:c r="K89" s="2" t="str">
        <x:v>nonempty</x:v>
      </x:c>
      <x:c r="L89" s="2" t="str">
        <x:v>resolved</x:v>
      </x:c>
      <x:c r="M89" s="11" t="n">
        <x:v>46</x:v>
      </x:c>
      <x:c r="N89" s="11" t="n">
        <x:v>494028</x:v>
      </x:c>
      <x:c r="O89" s="12" t="n">
        <x:v>124.678</x:v>
      </x:c>
      <x:c r="P89" s="9" t="str"/>
      <x:c r="Q89" s="9" t="str">
        <x:v>task_output-wsl/lite-baseline-001/instances/django__django-13925/attempt-0001/state.json</x:v>
      </x:c>
      <x:c r="R89" s="2" t="n">
        <x:v>1</x:v>
      </x:c>
    </x:row>
    <x:row r="90" ht="44" customHeight="1">
      <x:c r="A90" s="2" t="str">
        <x:v>django__django-13933</x:v>
      </x:c>
      <x:c r="B90" s="2" t="str">
        <x:v>django/django</x:v>
      </x:c>
      <x:c r="C90" s="2" t="str">
        <x:v>attempt-0001</x:v>
      </x:c>
      <x:c r="D90" s="2" t="str">
        <x:v>resolved</x:v>
      </x:c>
      <x:c r="E90" s="2" t="str">
        <x:v>finished</x:v>
      </x:c>
      <x:c r="F90" s="2" t="str">
        <x:v>completed</x:v>
      </x:c>
      <x:c r="G90" s="13" t="n">
        <x:v>1</x:v>
      </x:c>
      <x:c r="H90" s="13" t="n">
        <x:v>1</x:v>
      </x:c>
      <x:c r="I90" s="13" t="n">
        <x:v>1</x:v>
      </x:c>
      <x:c r="J90" s="2" t="str">
        <x:v>通过</x:v>
      </x:c>
      <x:c r="K90" s="2" t="str">
        <x:v>nonempty</x:v>
      </x:c>
      <x:c r="L90" s="2" t="str">
        <x:v>resolved</x:v>
      </x:c>
      <x:c r="M90" s="11" t="n">
        <x:v>11</x:v>
      </x:c>
      <x:c r="N90" s="11" t="n">
        <x:v>96269</x:v>
      </x:c>
      <x:c r="O90" s="12" t="n">
        <x:v>24.913</x:v>
      </x:c>
      <x:c r="P90" s="9" t="str"/>
      <x:c r="Q90" s="9" t="str">
        <x:v>task_output-wsl/lite-baseline-001/instances/django__django-13933/attempt-0001/state.json</x:v>
      </x:c>
      <x:c r="R90" s="2" t="n">
        <x:v>1</x:v>
      </x:c>
    </x:row>
    <x:row r="91" ht="44" customHeight="1">
      <x:c r="A91" s="2" t="str">
        <x:v>django__django-13964</x:v>
      </x:c>
      <x:c r="B91" s="2" t="str">
        <x:v>django/django</x:v>
      </x:c>
      <x:c r="C91" s="2" t="str">
        <x:v>attempt-0001</x:v>
      </x:c>
      <x:c r="D91" s="2" t="str">
        <x:v>resolved</x:v>
      </x:c>
      <x:c r="E91" s="2" t="str">
        <x:v>finished</x:v>
      </x:c>
      <x:c r="F91" s="2" t="str">
        <x:v>completed</x:v>
      </x:c>
      <x:c r="G91" s="13" t="n">
        <x:v>1</x:v>
      </x:c>
      <x:c r="H91" s="13" t="n">
        <x:v>1</x:v>
      </x:c>
      <x:c r="I91" s="13" t="n">
        <x:v>1</x:v>
      </x:c>
      <x:c r="J91" s="2" t="str">
        <x:v>通过</x:v>
      </x:c>
      <x:c r="K91" s="2" t="str">
        <x:v>nonempty</x:v>
      </x:c>
      <x:c r="L91" s="2" t="str">
        <x:v>resolved</x:v>
      </x:c>
      <x:c r="M91" s="11" t="n">
        <x:v>25</x:v>
      </x:c>
      <x:c r="N91" s="11" t="n">
        <x:v>214172</x:v>
      </x:c>
      <x:c r="O91" s="12" t="n">
        <x:v>54.621</x:v>
      </x:c>
      <x:c r="P91" s="9" t="str"/>
      <x:c r="Q91" s="9" t="str">
        <x:v>task_output-wsl/lite-baseline-001/instances/django__django-13964/attempt-0001/state.json</x:v>
      </x:c>
      <x:c r="R91" s="2" t="n">
        <x:v>1</x:v>
      </x:c>
    </x:row>
    <x:row r="92" ht="44" customHeight="1">
      <x:c r="A92" s="2" t="str">
        <x:v>django__django-14016</x:v>
      </x:c>
      <x:c r="B92" s="2" t="str">
        <x:v>django/django</x:v>
      </x:c>
      <x:c r="C92" s="2" t="str">
        <x:v>attempt-0001</x:v>
      </x:c>
      <x:c r="D92" s="2" t="str">
        <x:v>resolved</x:v>
      </x:c>
      <x:c r="E92" s="2" t="str">
        <x:v>finished</x:v>
      </x:c>
      <x:c r="F92" s="2" t="str">
        <x:v>completed</x:v>
      </x:c>
      <x:c r="G92" s="13" t="n">
        <x:v>1</x:v>
      </x:c>
      <x:c r="H92" s="13" t="n">
        <x:v>1</x:v>
      </x:c>
      <x:c r="I92" s="13" t="n">
        <x:v>1</x:v>
      </x:c>
      <x:c r="J92" s="2" t="str">
        <x:v>通过</x:v>
      </x:c>
      <x:c r="K92" s="2" t="str">
        <x:v>nonempty</x:v>
      </x:c>
      <x:c r="L92" s="2" t="str">
        <x:v>resolved</x:v>
      </x:c>
      <x:c r="M92" s="11" t="n">
        <x:v>28</x:v>
      </x:c>
      <x:c r="N92" s="11" t="n">
        <x:v>323709</x:v>
      </x:c>
      <x:c r="O92" s="12" t="n">
        <x:v>70.365</x:v>
      </x:c>
      <x:c r="P92" s="9" t="str"/>
      <x:c r="Q92" s="9" t="str">
        <x:v>task_output-wsl/lite-baseline-001/instances/django__django-14016/attempt-0001/state.json</x:v>
      </x:c>
      <x:c r="R92" s="2" t="n">
        <x:v>1</x:v>
      </x:c>
    </x:row>
    <x:row r="93" ht="44" customHeight="1">
      <x:c r="A93" s="2" t="str">
        <x:v>django__django-14017</x:v>
      </x:c>
      <x:c r="B93" s="2" t="str">
        <x:v>django/django</x:v>
      </x:c>
      <x:c r="C93" s="2" t="str">
        <x:v>attempt-0001</x:v>
      </x:c>
      <x:c r="D93" s="2" t="str">
        <x:v>empty_patch</x:v>
      </x:c>
      <x:c r="E93" s="2" t="str">
        <x:v>finished</x:v>
      </x:c>
      <x:c r="F93" s="2" t="str">
        <x:v>completed</x:v>
      </x:c>
      <x:c r="G93" s="13" t="n">
        <x:v>1</x:v>
      </x:c>
      <x:c r="H93" s="13" t="n">
        <x:v>1</x:v>
      </x:c>
      <x:c r="I93" s="13" t="n">
        <x:v>1</x:v>
      </x:c>
      <x:c r="J93" s="2" t="str">
        <x:v>通过</x:v>
      </x:c>
      <x:c r="K93" s="2" t="str">
        <x:v>empty</x:v>
      </x:c>
      <x:c r="L93" s="2" t="str">
        <x:v>not_run</x:v>
      </x:c>
      <x:c r="M93" s="11" t="n">
        <x:v>38</x:v>
      </x:c>
      <x:c r="N93" s="11" t="n">
        <x:v>431309</x:v>
      </x:c>
      <x:c r="O93" s="12" t="n">
        <x:v>125.166</x:v>
      </x:c>
      <x:c r="P93" s="9" t="str">
        <x:v>Runner collected no working-tree changes.</x:v>
      </x:c>
      <x:c r="Q93" s="9" t="str">
        <x:v>task_output-wsl/lite-baseline-001/instances/django__django-14017/attempt-0001/state.json</x:v>
      </x:c>
      <x:c r="R93" s="2" t="n">
        <x:v>1</x:v>
      </x:c>
    </x:row>
    <x:row r="94" ht="44" customHeight="1">
      <x:c r="A94" s="2" t="str">
        <x:v>django__django-14155</x:v>
      </x:c>
      <x:c r="B94" s="2" t="str">
        <x:v>django/django</x:v>
      </x:c>
      <x:c r="C94" s="2" t="str">
        <x:v>attempt-0001</x:v>
      </x:c>
      <x:c r="D94" s="2" t="str">
        <x:v>unresolved</x:v>
      </x:c>
      <x:c r="E94" s="2" t="str">
        <x:v>finished</x:v>
      </x:c>
      <x:c r="F94" s="2" t="str">
        <x:v>completed</x:v>
      </x:c>
      <x:c r="G94" s="13" t="n">
        <x:v>1</x:v>
      </x:c>
      <x:c r="H94" s="13" t="n">
        <x:v>1</x:v>
      </x:c>
      <x:c r="I94" s="13" t="n">
        <x:v>1</x:v>
      </x:c>
      <x:c r="J94" s="2" t="str">
        <x:v>通过</x:v>
      </x:c>
      <x:c r="K94" s="2" t="str">
        <x:v>nonempty</x:v>
      </x:c>
      <x:c r="L94" s="2" t="str">
        <x:v>unresolved</x:v>
      </x:c>
      <x:c r="M94" s="11" t="n">
        <x:v>26</x:v>
      </x:c>
      <x:c r="N94" s="11" t="n">
        <x:v>270932</x:v>
      </x:c>
      <x:c r="O94" s="12" t="n">
        <x:v>98.965</x:v>
      </x:c>
      <x:c r="P94" s="9" t="str"/>
      <x:c r="Q94" s="9" t="str">
        <x:v>task_output-wsl/lite-baseline-001/instances/django__django-14155/attempt-0001/state.json</x:v>
      </x:c>
      <x:c r="R94" s="2" t="n">
        <x:v>1</x:v>
      </x:c>
    </x:row>
    <x:row r="95" ht="44" customHeight="1">
      <x:c r="A95" s="2" t="str">
        <x:v>django__django-14238</x:v>
      </x:c>
      <x:c r="B95" s="2" t="str">
        <x:v>django/django</x:v>
      </x:c>
      <x:c r="C95" s="2" t="str">
        <x:v>attempt-0001</x:v>
      </x:c>
      <x:c r="D95" s="2" t="str">
        <x:v>resolved</x:v>
      </x:c>
      <x:c r="E95" s="2" t="str">
        <x:v>finished</x:v>
      </x:c>
      <x:c r="F95" s="2" t="str">
        <x:v>completed</x:v>
      </x:c>
      <x:c r="G95" s="13" t="n">
        <x:v>1</x:v>
      </x:c>
      <x:c r="H95" s="13" t="n">
        <x:v>1</x:v>
      </x:c>
      <x:c r="I95" s="13" t="n">
        <x:v>1</x:v>
      </x:c>
      <x:c r="J95" s="2" t="str">
        <x:v>通过</x:v>
      </x:c>
      <x:c r="K95" s="2" t="str">
        <x:v>nonempty</x:v>
      </x:c>
      <x:c r="L95" s="2" t="str">
        <x:v>resolved</x:v>
      </x:c>
      <x:c r="M95" s="11" t="n">
        <x:v>9</x:v>
      </x:c>
      <x:c r="N95" s="11" t="n">
        <x:v>45424</x:v>
      </x:c>
      <x:c r="O95" s="12" t="n">
        <x:v>13.362</x:v>
      </x:c>
      <x:c r="P95" s="9" t="str"/>
      <x:c r="Q95" s="9" t="str">
        <x:v>task_output-wsl/lite-baseline-001/instances/django__django-14238/attempt-0001/state.json</x:v>
      </x:c>
      <x:c r="R95" s="2" t="n">
        <x:v>1</x:v>
      </x:c>
    </x:row>
    <x:row r="96" ht="44" customHeight="1">
      <x:c r="A96" s="2" t="str">
        <x:v>django__django-14382</x:v>
      </x:c>
      <x:c r="B96" s="2" t="str">
        <x:v>django/django</x:v>
      </x:c>
      <x:c r="C96" s="2" t="str">
        <x:v>attempt-0001</x:v>
      </x:c>
      <x:c r="D96" s="2" t="str">
        <x:v>resolved</x:v>
      </x:c>
      <x:c r="E96" s="2" t="str">
        <x:v>finished</x:v>
      </x:c>
      <x:c r="F96" s="2" t="str">
        <x:v>completed</x:v>
      </x:c>
      <x:c r="G96" s="13" t="n">
        <x:v>1</x:v>
      </x:c>
      <x:c r="H96" s="13" t="n">
        <x:v>1</x:v>
      </x:c>
      <x:c r="I96" s="13" t="n">
        <x:v>1</x:v>
      </x:c>
      <x:c r="J96" s="2" t="str">
        <x:v>通过</x:v>
      </x:c>
      <x:c r="K96" s="2" t="str">
        <x:v>nonempty</x:v>
      </x:c>
      <x:c r="L96" s="2" t="str">
        <x:v>resolved</x:v>
      </x:c>
      <x:c r="M96" s="11" t="n">
        <x:v>15</x:v>
      </x:c>
      <x:c r="N96" s="11" t="n">
        <x:v>128322</x:v>
      </x:c>
      <x:c r="O96" s="12" t="n">
        <x:v>39.593</x:v>
      </x:c>
      <x:c r="P96" s="9" t="str"/>
      <x:c r="Q96" s="9" t="str">
        <x:v>task_output-wsl/lite-baseline-001/instances/django__django-14382/attempt-0001/state.json</x:v>
      </x:c>
      <x:c r="R96" s="2" t="n">
        <x:v>1</x:v>
      </x:c>
    </x:row>
    <x:row r="97" ht="44" customHeight="1">
      <x:c r="A97" s="2" t="str">
        <x:v>django__django-14411</x:v>
      </x:c>
      <x:c r="B97" s="2" t="str">
        <x:v>django/django</x:v>
      </x:c>
      <x:c r="C97" s="2" t="str">
        <x:v>attempt-0001</x:v>
      </x:c>
      <x:c r="D97" s="2" t="str">
        <x:v>resolved</x:v>
      </x:c>
      <x:c r="E97" s="2" t="str">
        <x:v>finished</x:v>
      </x:c>
      <x:c r="F97" s="2" t="str">
        <x:v>completed</x:v>
      </x:c>
      <x:c r="G97" s="13" t="n">
        <x:v>1</x:v>
      </x:c>
      <x:c r="H97" s="13" t="n">
        <x:v>1</x:v>
      </x:c>
      <x:c r="I97" s="13" t="n">
        <x:v>1</x:v>
      </x:c>
      <x:c r="J97" s="2" t="str">
        <x:v>通过</x:v>
      </x:c>
      <x:c r="K97" s="2" t="str">
        <x:v>nonempty</x:v>
      </x:c>
      <x:c r="L97" s="2" t="str">
        <x:v>resolved</x:v>
      </x:c>
      <x:c r="M97" s="11" t="n">
        <x:v>7</x:v>
      </x:c>
      <x:c r="N97" s="11" t="n">
        <x:v>41954</x:v>
      </x:c>
      <x:c r="O97" s="12" t="n">
        <x:v>15.955</x:v>
      </x:c>
      <x:c r="P97" s="9" t="str"/>
      <x:c r="Q97" s="9" t="str">
        <x:v>task_output-wsl/lite-baseline-001/instances/django__django-14411/attempt-0001/state.json</x:v>
      </x:c>
      <x:c r="R97" s="2" t="n">
        <x:v>1</x:v>
      </x:c>
    </x:row>
    <x:row r="98" ht="44" customHeight="1">
      <x:c r="A98" s="2" t="str">
        <x:v>django__django-14534</x:v>
      </x:c>
      <x:c r="B98" s="2" t="str">
        <x:v>django/django</x:v>
      </x:c>
      <x:c r="C98" s="2" t="str">
        <x:v>attempt-0001</x:v>
      </x:c>
      <x:c r="D98" s="2" t="str">
        <x:v>unresolved</x:v>
      </x:c>
      <x:c r="E98" s="2" t="str">
        <x:v>finished</x:v>
      </x:c>
      <x:c r="F98" s="2" t="str">
        <x:v>limit</x:v>
      </x:c>
      <x:c r="G98" s="13" t="n">
        <x:v>1</x:v>
      </x:c>
      <x:c r="H98" s="13" t="n">
        <x:v>1</x:v>
      </x:c>
      <x:c r="I98" s="13" t="n">
        <x:v>1</x:v>
      </x:c>
      <x:c r="J98" s="2" t="str">
        <x:v>通过</x:v>
      </x:c>
      <x:c r="K98" s="2" t="str">
        <x:v>nonempty</x:v>
      </x:c>
      <x:c r="L98" s="2" t="str">
        <x:v>unresolved</x:v>
      </x:c>
      <x:c r="M98" s="11" t="n">
        <x:v>64</x:v>
      </x:c>
      <x:c r="N98" s="11" t="n">
        <x:v>660980</x:v>
      </x:c>
      <x:c r="O98" s="12" t="n">
        <x:v>217.409</x:v>
      </x:c>
      <x:c r="P98" s="9" t="str">
        <x:v>Lead model-turn limit reached.</x:v>
      </x:c>
      <x:c r="Q98" s="9" t="str">
        <x:v>task_output-wsl/lite-baseline-001/instances/django__django-14534/attempt-0001/state.json</x:v>
      </x:c>
      <x:c r="R98" s="2" t="n">
        <x:v>1</x:v>
      </x:c>
    </x:row>
    <x:row r="99" ht="44" customHeight="1">
      <x:c r="A99" s="2" t="str">
        <x:v>django__django-14580</x:v>
      </x:c>
      <x:c r="B99" s="2" t="str">
        <x:v>django/django</x:v>
      </x:c>
      <x:c r="C99" s="2" t="str">
        <x:v>attempt-0001</x:v>
      </x:c>
      <x:c r="D99" s="2" t="str">
        <x:v>resolved</x:v>
      </x:c>
      <x:c r="E99" s="2" t="str">
        <x:v>finished</x:v>
      </x:c>
      <x:c r="F99" s="2" t="str">
        <x:v>completed</x:v>
      </x:c>
      <x:c r="G99" s="13" t="n">
        <x:v>1</x:v>
      </x:c>
      <x:c r="H99" s="13" t="n">
        <x:v>1</x:v>
      </x:c>
      <x:c r="I99" s="13" t="n">
        <x:v>1</x:v>
      </x:c>
      <x:c r="J99" s="2" t="str">
        <x:v>通过</x:v>
      </x:c>
      <x:c r="K99" s="2" t="str">
        <x:v>nonempty</x:v>
      </x:c>
      <x:c r="L99" s="2" t="str">
        <x:v>resolved</x:v>
      </x:c>
      <x:c r="M99" s="11" t="n">
        <x:v>15</x:v>
      </x:c>
      <x:c r="N99" s="11" t="n">
        <x:v>146587</x:v>
      </x:c>
      <x:c r="O99" s="12" t="n">
        <x:v>31.966</x:v>
      </x:c>
      <x:c r="P99" s="9" t="str"/>
      <x:c r="Q99" s="9" t="str">
        <x:v>task_output-wsl/lite-baseline-001/instances/django__django-14580/attempt-0001/state.json</x:v>
      </x:c>
      <x:c r="R99" s="2" t="n">
        <x:v>1</x:v>
      </x:c>
    </x:row>
    <x:row r="100" ht="44" customHeight="1">
      <x:c r="A100" s="2" t="str">
        <x:v>django__django-14608</x:v>
      </x:c>
      <x:c r="B100" s="2" t="str">
        <x:v>django/django</x:v>
      </x:c>
      <x:c r="C100" s="2" t="str">
        <x:v>attempt-0001</x:v>
      </x:c>
      <x:c r="D100" s="2" t="str">
        <x:v>resolved</x:v>
      </x:c>
      <x:c r="E100" s="2" t="str">
        <x:v>finished</x:v>
      </x:c>
      <x:c r="F100" s="2" t="str">
        <x:v>completed</x:v>
      </x:c>
      <x:c r="G100" s="13" t="n">
        <x:v>1</x:v>
      </x:c>
      <x:c r="H100" s="13" t="n">
        <x:v>1</x:v>
      </x:c>
      <x:c r="I100" s="13" t="n">
        <x:v>1</x:v>
      </x:c>
      <x:c r="J100" s="2" t="str">
        <x:v>通过</x:v>
      </x:c>
      <x:c r="K100" s="2" t="str">
        <x:v>nonempty</x:v>
      </x:c>
      <x:c r="L100" s="2" t="str">
        <x:v>resolved</x:v>
      </x:c>
      <x:c r="M100" s="11" t="n">
        <x:v>24</x:v>
      </x:c>
      <x:c r="N100" s="11" t="n">
        <x:v>245780</x:v>
      </x:c>
      <x:c r="O100" s="12" t="n">
        <x:v>41.554</x:v>
      </x:c>
      <x:c r="P100" s="9" t="str"/>
      <x:c r="Q100" s="9" t="str">
        <x:v>task_output-wsl/lite-baseline-001/instances/django__django-14608/attempt-0001/state.json</x:v>
      </x:c>
      <x:c r="R100" s="2" t="n">
        <x:v>1</x:v>
      </x:c>
    </x:row>
    <x:row r="101" ht="44" customHeight="1">
      <x:c r="A101" s="2" t="str">
        <x:v>django__django-14667</x:v>
      </x:c>
      <x:c r="B101" s="2" t="str">
        <x:v>django/django</x:v>
      </x:c>
      <x:c r="C101" s="2" t="str">
        <x:v>attempt-0001</x:v>
      </x:c>
      <x:c r="D101" s="2" t="str">
        <x:v>unresolved</x:v>
      </x:c>
      <x:c r="E101" s="2" t="str">
        <x:v>finished</x:v>
      </x:c>
      <x:c r="F101" s="2" t="str">
        <x:v>completed</x:v>
      </x:c>
      <x:c r="G101" s="13" t="n">
        <x:v>1</x:v>
      </x:c>
      <x:c r="H101" s="13" t="n">
        <x:v>1</x:v>
      </x:c>
      <x:c r="I101" s="13" t="n">
        <x:v>1</x:v>
      </x:c>
      <x:c r="J101" s="2" t="str">
        <x:v>通过</x:v>
      </x:c>
      <x:c r="K101" s="2" t="str">
        <x:v>nonempty</x:v>
      </x:c>
      <x:c r="L101" s="2" t="str">
        <x:v>unresolved</x:v>
      </x:c>
      <x:c r="M101" s="11" t="n">
        <x:v>24</x:v>
      </x:c>
      <x:c r="N101" s="11" t="n">
        <x:v>260124</x:v>
      </x:c>
      <x:c r="O101" s="12" t="n">
        <x:v>57.046</x:v>
      </x:c>
      <x:c r="P101" s="9" t="str"/>
      <x:c r="Q101" s="9" t="str">
        <x:v>task_output-wsl/lite-baseline-001/instances/django__django-14667/attempt-0001/state.json</x:v>
      </x:c>
      <x:c r="R101" s="2" t="n">
        <x:v>1</x:v>
      </x:c>
    </x:row>
    <x:row r="102" ht="44" customHeight="1">
      <x:c r="A102" s="2" t="str">
        <x:v>django__django-14672</x:v>
      </x:c>
      <x:c r="B102" s="2" t="str">
        <x:v>django/django</x:v>
      </x:c>
      <x:c r="C102" s="2" t="str">
        <x:v>attempt-0001</x:v>
      </x:c>
      <x:c r="D102" s="2" t="str">
        <x:v>resolved</x:v>
      </x:c>
      <x:c r="E102" s="2" t="str">
        <x:v>finished</x:v>
      </x:c>
      <x:c r="F102" s="2" t="str">
        <x:v>completed</x:v>
      </x:c>
      <x:c r="G102" s="13" t="n">
        <x:v>1</x:v>
      </x:c>
      <x:c r="H102" s="13" t="n">
        <x:v>1</x:v>
      </x:c>
      <x:c r="I102" s="13" t="n">
        <x:v>1</x:v>
      </x:c>
      <x:c r="J102" s="2" t="str">
        <x:v>通过</x:v>
      </x:c>
      <x:c r="K102" s="2" t="str">
        <x:v>nonempty</x:v>
      </x:c>
      <x:c r="L102" s="2" t="str">
        <x:v>resolved</x:v>
      </x:c>
      <x:c r="M102" s="11" t="n">
        <x:v>10</x:v>
      </x:c>
      <x:c r="N102" s="11" t="n">
        <x:v>66037</x:v>
      </x:c>
      <x:c r="O102" s="12" t="n">
        <x:v>17.278</x:v>
      </x:c>
      <x:c r="P102" s="9" t="str"/>
      <x:c r="Q102" s="9" t="str">
        <x:v>task_output-wsl/lite-baseline-001/instances/django__django-14672/attempt-0001/state.json</x:v>
      </x:c>
      <x:c r="R102" s="2" t="n">
        <x:v>1</x:v>
      </x:c>
    </x:row>
    <x:row r="103" ht="44" customHeight="1">
      <x:c r="A103" s="2" t="str">
        <x:v>django__django-14730</x:v>
      </x:c>
      <x:c r="B103" s="2" t="str">
        <x:v>django/django</x:v>
      </x:c>
      <x:c r="C103" s="2" t="str">
        <x:v>attempt-0001</x:v>
      </x:c>
      <x:c r="D103" s="2" t="str">
        <x:v>error</x:v>
      </x:c>
      <x:c r="E103" s="2" t="str">
        <x:v>gold</x:v>
      </x:c>
      <x:c r="F103" s="2" t="str">
        <x:v>未启动</x:v>
      </x:c>
      <x:c r="G103" s="13" t="n">
        <x:v>1</x:v>
      </x:c>
      <x:c r="H103" s="13" t="n">
        <x:v>0</x:v>
      </x:c>
      <x:c r="I103" s="13" t="n">
        <x:v>0</x:v>
      </x:c>
      <x:c r="J103" s="2" t="str">
        <x:v>无记录</x:v>
      </x:c>
      <x:c r="K103" s="2" t="str">
        <x:v>not_collected</x:v>
      </x:c>
      <x:c r="L103" s="2" t="str">
        <x:v>not_run</x:v>
      </x:c>
      <x:c r="M103" s="11" t="n">
        <x:v>0</x:v>
      </x:c>
      <x:c r="N103" s="11" t="n">
        <x:v>0</x:v>
      </x:c>
      <x:c r="O103" s="12"/>
      <x:c r="P103" s="9" t="str">
        <x:v>RuntimeError: Official evaluation produced no report; see gold/70e17eb9e2/harness.log.</x:v>
      </x:c>
      <x:c r="Q103" s="9" t="str">
        <x:v>task_output-wsl/lite-baseline-001/instances/django__django-14730/attempt-0001/state.json</x:v>
      </x:c>
      <x:c r="R103" s="2" t="n">
        <x:v>0</x:v>
      </x:c>
    </x:row>
    <x:row r="104" ht="44" customHeight="1">
      <x:c r="A104" s="2" t="str">
        <x:v>django__django-14730</x:v>
      </x:c>
      <x:c r="B104" s="2" t="str">
        <x:v>django/django</x:v>
      </x:c>
      <x:c r="C104" s="2" t="str">
        <x:v>attempt-0002</x:v>
      </x:c>
      <x:c r="D104" s="2" t="str">
        <x:v>resolved</x:v>
      </x:c>
      <x:c r="E104" s="2" t="str">
        <x:v>finished</x:v>
      </x:c>
      <x:c r="F104" s="2" t="str">
        <x:v>completed</x:v>
      </x:c>
      <x:c r="G104" s="13" t="n">
        <x:v>0</x:v>
      </x:c>
      <x:c r="H104" s="13" t="n">
        <x:v>1</x:v>
      </x:c>
      <x:c r="I104" s="13" t="n">
        <x:v>1</x:v>
      </x:c>
      <x:c r="J104" s="2" t="str">
        <x:v>通过</x:v>
      </x:c>
      <x:c r="K104" s="2" t="str">
        <x:v>nonempty</x:v>
      </x:c>
      <x:c r="L104" s="2" t="str">
        <x:v>resolved</x:v>
      </x:c>
      <x:c r="M104" s="11" t="n">
        <x:v>38</x:v>
      </x:c>
      <x:c r="N104" s="11" t="n">
        <x:v>433561</x:v>
      </x:c>
      <x:c r="O104" s="12" t="n">
        <x:v>119.908</x:v>
      </x:c>
      <x:c r="P104" s="9" t="str"/>
      <x:c r="Q104" s="9" t="str">
        <x:v>task_output-wsl/lite-baseline-001/instances/django__django-14730/attempt-0002/state.json</x:v>
      </x:c>
      <x:c r="R104" s="2" t="n">
        <x:v>1</x:v>
      </x:c>
    </x:row>
    <x:row r="105" ht="44" customHeight="1">
      <x:c r="A105" s="2" t="str">
        <x:v>django__django-14752</x:v>
      </x:c>
      <x:c r="B105" s="2" t="str">
        <x:v>django/django</x:v>
      </x:c>
      <x:c r="C105" s="2" t="str">
        <x:v>attempt-0001</x:v>
      </x:c>
      <x:c r="D105" s="2" t="str">
        <x:v>resolved</x:v>
      </x:c>
      <x:c r="E105" s="2" t="str">
        <x:v>finished</x:v>
      </x:c>
      <x:c r="F105" s="2" t="str">
        <x:v>completed</x:v>
      </x:c>
      <x:c r="G105" s="13" t="n">
        <x:v>1</x:v>
      </x:c>
      <x:c r="H105" s="13" t="n">
        <x:v>1</x:v>
      </x:c>
      <x:c r="I105" s="13" t="n">
        <x:v>1</x:v>
      </x:c>
      <x:c r="J105" s="2" t="str">
        <x:v>通过</x:v>
      </x:c>
      <x:c r="K105" s="2" t="str">
        <x:v>nonempty</x:v>
      </x:c>
      <x:c r="L105" s="2" t="str">
        <x:v>resolved</x:v>
      </x:c>
      <x:c r="M105" s="11" t="n">
        <x:v>7</x:v>
      </x:c>
      <x:c r="N105" s="11" t="n">
        <x:v>33897</x:v>
      </x:c>
      <x:c r="O105" s="12" t="n">
        <x:v>10.754</x:v>
      </x:c>
      <x:c r="P105" s="9" t="str"/>
      <x:c r="Q105" s="9" t="str">
        <x:v>task_output-wsl/lite-baseline-001/instances/django__django-14752/attempt-0001/state.json</x:v>
      </x:c>
      <x:c r="R105" s="2" t="n">
        <x:v>1</x:v>
      </x:c>
    </x:row>
    <x:row r="106" ht="44" customHeight="1">
      <x:c r="A106" s="2" t="str">
        <x:v>django__django-14787</x:v>
      </x:c>
      <x:c r="B106" s="2" t="str">
        <x:v>django/django</x:v>
      </x:c>
      <x:c r="C106" s="2" t="str">
        <x:v>attempt-0001</x:v>
      </x:c>
      <x:c r="D106" s="2" t="str">
        <x:v>resolved</x:v>
      </x:c>
      <x:c r="E106" s="2" t="str">
        <x:v>finished</x:v>
      </x:c>
      <x:c r="F106" s="2" t="str">
        <x:v>completed</x:v>
      </x:c>
      <x:c r="G106" s="13" t="n">
        <x:v>1</x:v>
      </x:c>
      <x:c r="H106" s="13" t="n">
        <x:v>1</x:v>
      </x:c>
      <x:c r="I106" s="13" t="n">
        <x:v>1</x:v>
      </x:c>
      <x:c r="J106" s="2" t="str">
        <x:v>通过</x:v>
      </x:c>
      <x:c r="K106" s="2" t="str">
        <x:v>nonempty</x:v>
      </x:c>
      <x:c r="L106" s="2" t="str">
        <x:v>resolved</x:v>
      </x:c>
      <x:c r="M106" s="11" t="n">
        <x:v>38</x:v>
      </x:c>
      <x:c r="N106" s="11" t="n">
        <x:v>416253</x:v>
      </x:c>
      <x:c r="O106" s="12" t="n">
        <x:v>152.342</x:v>
      </x:c>
      <x:c r="P106" s="9" t="str"/>
      <x:c r="Q106" s="9" t="str">
        <x:v>task_output-wsl/lite-baseline-001/instances/django__django-14787/attempt-0001/state.json</x:v>
      </x:c>
      <x:c r="R106" s="2" t="n">
        <x:v>1</x:v>
      </x:c>
    </x:row>
    <x:row r="107" ht="44" customHeight="1">
      <x:c r="A107" s="2" t="str">
        <x:v>django__django-14855</x:v>
      </x:c>
      <x:c r="B107" s="2" t="str">
        <x:v>django/django</x:v>
      </x:c>
      <x:c r="C107" s="2" t="str">
        <x:v>attempt-0001</x:v>
      </x:c>
      <x:c r="D107" s="2" t="str">
        <x:v>resolved</x:v>
      </x:c>
      <x:c r="E107" s="2" t="str">
        <x:v>finished</x:v>
      </x:c>
      <x:c r="F107" s="2" t="str">
        <x:v>completed</x:v>
      </x:c>
      <x:c r="G107" s="13" t="n">
        <x:v>1</x:v>
      </x:c>
      <x:c r="H107" s="13" t="n">
        <x:v>1</x:v>
      </x:c>
      <x:c r="I107" s="13" t="n">
        <x:v>1</x:v>
      </x:c>
      <x:c r="J107" s="2" t="str">
        <x:v>通过</x:v>
      </x:c>
      <x:c r="K107" s="2" t="str">
        <x:v>nonempty</x:v>
      </x:c>
      <x:c r="L107" s="2" t="str">
        <x:v>resolved</x:v>
      </x:c>
      <x:c r="M107" s="11" t="n">
        <x:v>43</x:v>
      </x:c>
      <x:c r="N107" s="11" t="n">
        <x:v>484568</x:v>
      </x:c>
      <x:c r="O107" s="12" t="n">
        <x:v>130.038</x:v>
      </x:c>
      <x:c r="P107" s="9" t="str"/>
      <x:c r="Q107" s="9" t="str">
        <x:v>task_output-wsl/lite-baseline-001/instances/django__django-14855/attempt-0001/state.json</x:v>
      </x:c>
      <x:c r="R107" s="2" t="n">
        <x:v>1</x:v>
      </x:c>
    </x:row>
    <x:row r="108" ht="44" customHeight="1">
      <x:c r="A108" s="2" t="str">
        <x:v>django__django-14915</x:v>
      </x:c>
      <x:c r="B108" s="2" t="str">
        <x:v>django/django</x:v>
      </x:c>
      <x:c r="C108" s="2" t="str">
        <x:v>attempt-0001</x:v>
      </x:c>
      <x:c r="D108" s="2" t="str">
        <x:v>resolved</x:v>
      </x:c>
      <x:c r="E108" s="2" t="str">
        <x:v>finished</x:v>
      </x:c>
      <x:c r="F108" s="2" t="str">
        <x:v>completed</x:v>
      </x:c>
      <x:c r="G108" s="13" t="n">
        <x:v>1</x:v>
      </x:c>
      <x:c r="H108" s="13" t="n">
        <x:v>1</x:v>
      </x:c>
      <x:c r="I108" s="13" t="n">
        <x:v>1</x:v>
      </x:c>
      <x:c r="J108" s="2" t="str">
        <x:v>通过</x:v>
      </x:c>
      <x:c r="K108" s="2" t="str">
        <x:v>nonempty</x:v>
      </x:c>
      <x:c r="L108" s="2" t="str">
        <x:v>resolved</x:v>
      </x:c>
      <x:c r="M108" s="11" t="n">
        <x:v>14</x:v>
      </x:c>
      <x:c r="N108" s="11" t="n">
        <x:v>73182</x:v>
      </x:c>
      <x:c r="O108" s="12" t="n">
        <x:v>22.217</x:v>
      </x:c>
      <x:c r="P108" s="9" t="str"/>
      <x:c r="Q108" s="9" t="str">
        <x:v>task_output-wsl/lite-baseline-001/instances/django__django-14915/attempt-0001/state.json</x:v>
      </x:c>
      <x:c r="R108" s="2" t="n">
        <x:v>1</x:v>
      </x:c>
    </x:row>
    <x:row r="109" ht="44" customHeight="1">
      <x:c r="A109" s="2" t="str">
        <x:v>django__django-14997</x:v>
      </x:c>
      <x:c r="B109" s="2" t="str">
        <x:v>django/django</x:v>
      </x:c>
      <x:c r="C109" s="2" t="str">
        <x:v>attempt-0001</x:v>
      </x:c>
      <x:c r="D109" s="2" t="str">
        <x:v>empty_patch</x:v>
      </x:c>
      <x:c r="E109" s="2" t="str">
        <x:v>finished</x:v>
      </x:c>
      <x:c r="F109" s="2" t="str">
        <x:v>limit</x:v>
      </x:c>
      <x:c r="G109" s="13" t="n">
        <x:v>1</x:v>
      </x:c>
      <x:c r="H109" s="13" t="n">
        <x:v>1</x:v>
      </x:c>
      <x:c r="I109" s="13" t="n">
        <x:v>1</x:v>
      </x:c>
      <x:c r="J109" s="2" t="str">
        <x:v>通过</x:v>
      </x:c>
      <x:c r="K109" s="2" t="str">
        <x:v>empty</x:v>
      </x:c>
      <x:c r="L109" s="2" t="str">
        <x:v>not_run</x:v>
      </x:c>
      <x:c r="M109" s="11" t="n">
        <x:v>61</x:v>
      </x:c>
      <x:c r="N109" s="11" t="n">
        <x:v>755310</x:v>
      </x:c>
      <x:c r="O109" s="12" t="n">
        <x:v>98.41</x:v>
      </x:c>
      <x:c r="P109" s="9" t="str">
        <x:v>Lead model-turn limit reached.</x:v>
      </x:c>
      <x:c r="Q109" s="9" t="str">
        <x:v>task_output-wsl/lite-baseline-001/instances/django__django-14997/attempt-0001/state.json</x:v>
      </x:c>
      <x:c r="R109" s="2" t="n">
        <x:v>1</x:v>
      </x:c>
    </x:row>
    <x:row r="110" ht="44" customHeight="1">
      <x:c r="A110" s="2" t="str">
        <x:v>django__django-14999</x:v>
      </x:c>
      <x:c r="B110" s="2" t="str">
        <x:v>django/django</x:v>
      </x:c>
      <x:c r="C110" s="2" t="str">
        <x:v>attempt-0001</x:v>
      </x:c>
      <x:c r="D110" s="2" t="str">
        <x:v>resolved</x:v>
      </x:c>
      <x:c r="E110" s="2" t="str">
        <x:v>finished</x:v>
      </x:c>
      <x:c r="F110" s="2" t="str">
        <x:v>completed</x:v>
      </x:c>
      <x:c r="G110" s="13" t="n">
        <x:v>1</x:v>
      </x:c>
      <x:c r="H110" s="13" t="n">
        <x:v>1</x:v>
      </x:c>
      <x:c r="I110" s="13" t="n">
        <x:v>1</x:v>
      </x:c>
      <x:c r="J110" s="2" t="str">
        <x:v>通过</x:v>
      </x:c>
      <x:c r="K110" s="2" t="str">
        <x:v>nonempty</x:v>
      </x:c>
      <x:c r="L110" s="2" t="str">
        <x:v>resolved</x:v>
      </x:c>
      <x:c r="M110" s="11" t="n">
        <x:v>43</x:v>
      </x:c>
      <x:c r="N110" s="11" t="n">
        <x:v>438961</x:v>
      </x:c>
      <x:c r="O110" s="12" t="n">
        <x:v>146.047</x:v>
      </x:c>
      <x:c r="P110" s="9" t="str"/>
      <x:c r="Q110" s="9" t="str">
        <x:v>task_output-wsl/lite-baseline-001/instances/django__django-14999/attempt-0001/state.json</x:v>
      </x:c>
      <x:c r="R110" s="2" t="n">
        <x:v>1</x:v>
      </x:c>
    </x:row>
    <x:row r="111" ht="44" customHeight="1">
      <x:c r="A111" s="2" t="str">
        <x:v>django__django-15061</x:v>
      </x:c>
      <x:c r="B111" s="2" t="str">
        <x:v>django/django</x:v>
      </x:c>
      <x:c r="C111" s="2" t="str">
        <x:v>attempt-0001</x:v>
      </x:c>
      <x:c r="D111" s="2" t="str">
        <x:v>resolved</x:v>
      </x:c>
      <x:c r="E111" s="2" t="str">
        <x:v>finished</x:v>
      </x:c>
      <x:c r="F111" s="2" t="str">
        <x:v>completed</x:v>
      </x:c>
      <x:c r="G111" s="13" t="n">
        <x:v>1</x:v>
      </x:c>
      <x:c r="H111" s="13" t="n">
        <x:v>1</x:v>
      </x:c>
      <x:c r="I111" s="13" t="n">
        <x:v>1</x:v>
      </x:c>
      <x:c r="J111" s="2" t="str">
        <x:v>通过</x:v>
      </x:c>
      <x:c r="K111" s="2" t="str">
        <x:v>nonempty</x:v>
      </x:c>
      <x:c r="L111" s="2" t="str">
        <x:v>resolved</x:v>
      </x:c>
      <x:c r="M111" s="11" t="n">
        <x:v>52</x:v>
      </x:c>
      <x:c r="N111" s="11" t="n">
        <x:v>615838</x:v>
      </x:c>
      <x:c r="O111" s="12" t="n">
        <x:v>124.043</x:v>
      </x:c>
      <x:c r="P111" s="9" t="str"/>
      <x:c r="Q111" s="9" t="str">
        <x:v>task_output-wsl/lite-baseline-001/instances/django__django-15061/attempt-0001/state.json</x:v>
      </x:c>
      <x:c r="R111" s="2" t="n">
        <x:v>1</x:v>
      </x:c>
    </x:row>
    <x:row r="112" ht="44" customHeight="1">
      <x:c r="A112" s="2" t="str">
        <x:v>django__django-15202</x:v>
      </x:c>
      <x:c r="B112" s="2" t="str">
        <x:v>django/django</x:v>
      </x:c>
      <x:c r="C112" s="2" t="str">
        <x:v>attempt-0001</x:v>
      </x:c>
      <x:c r="D112" s="2" t="str">
        <x:v>resolved</x:v>
      </x:c>
      <x:c r="E112" s="2" t="str">
        <x:v>finished</x:v>
      </x:c>
      <x:c r="F112" s="2" t="str">
        <x:v>completed</x:v>
      </x:c>
      <x:c r="G112" s="13" t="n">
        <x:v>1</x:v>
      </x:c>
      <x:c r="H112" s="13" t="n">
        <x:v>1</x:v>
      </x:c>
      <x:c r="I112" s="13" t="n">
        <x:v>1</x:v>
      </x:c>
      <x:c r="J112" s="2" t="str">
        <x:v>通过</x:v>
      </x:c>
      <x:c r="K112" s="2" t="str">
        <x:v>nonempty</x:v>
      </x:c>
      <x:c r="L112" s="2" t="str">
        <x:v>resolved</x:v>
      </x:c>
      <x:c r="M112" s="11" t="n">
        <x:v>13</x:v>
      </x:c>
      <x:c r="N112" s="11" t="n">
        <x:v>116593</x:v>
      </x:c>
      <x:c r="O112" s="12" t="n">
        <x:v>32.93</x:v>
      </x:c>
      <x:c r="P112" s="9" t="str"/>
      <x:c r="Q112" s="9" t="str">
        <x:v>task_output-wsl/lite-baseline-001/instances/django__django-15202/attempt-0001/state.json</x:v>
      </x:c>
      <x:c r="R112" s="2" t="n">
        <x:v>1</x:v>
      </x:c>
    </x:row>
    <x:row r="113" ht="44" customHeight="1">
      <x:c r="A113" s="2" t="str">
        <x:v>django__django-15213</x:v>
      </x:c>
      <x:c r="B113" s="2" t="str">
        <x:v>django/django</x:v>
      </x:c>
      <x:c r="C113" s="2" t="str">
        <x:v>attempt-0001</x:v>
      </x:c>
      <x:c r="D113" s="2" t="str">
        <x:v>empty_patch</x:v>
      </x:c>
      <x:c r="E113" s="2" t="str">
        <x:v>finished</x:v>
      </x:c>
      <x:c r="F113" s="2" t="str">
        <x:v>limit</x:v>
      </x:c>
      <x:c r="G113" s="13" t="n">
        <x:v>1</x:v>
      </x:c>
      <x:c r="H113" s="13" t="n">
        <x:v>1</x:v>
      </x:c>
      <x:c r="I113" s="13" t="n">
        <x:v>1</x:v>
      </x:c>
      <x:c r="J113" s="2" t="str">
        <x:v>通过</x:v>
      </x:c>
      <x:c r="K113" s="2" t="str">
        <x:v>empty</x:v>
      </x:c>
      <x:c r="L113" s="2" t="str">
        <x:v>not_run</x:v>
      </x:c>
      <x:c r="M113" s="11" t="n">
        <x:v>60</x:v>
      </x:c>
      <x:c r="N113" s="11" t="n">
        <x:v>693682</x:v>
      </x:c>
      <x:c r="O113" s="12" t="n">
        <x:v>99.918</x:v>
      </x:c>
      <x:c r="P113" s="9" t="str">
        <x:v>Lead model-turn limit reached.</x:v>
      </x:c>
      <x:c r="Q113" s="9" t="str">
        <x:v>task_output-wsl/lite-baseline-001/instances/django__django-15213/attempt-0001/state.json</x:v>
      </x:c>
      <x:c r="R113" s="2" t="n">
        <x:v>1</x:v>
      </x:c>
    </x:row>
    <x:row r="114" ht="44" customHeight="1">
      <x:c r="A114" s="2" t="str">
        <x:v>django__django-15252</x:v>
      </x:c>
      <x:c r="B114" s="2" t="str">
        <x:v>django/django</x:v>
      </x:c>
      <x:c r="C114" s="2" t="str">
        <x:v>attempt-0001</x:v>
      </x:c>
      <x:c r="D114" s="2" t="str">
        <x:v>empty_patch</x:v>
      </x:c>
      <x:c r="E114" s="2" t="str">
        <x:v>finished</x:v>
      </x:c>
      <x:c r="F114" s="2" t="str">
        <x:v>limit</x:v>
      </x:c>
      <x:c r="G114" s="13" t="n">
        <x:v>1</x:v>
      </x:c>
      <x:c r="H114" s="13" t="n">
        <x:v>1</x:v>
      </x:c>
      <x:c r="I114" s="13" t="n">
        <x:v>1</x:v>
      </x:c>
      <x:c r="J114" s="2" t="str">
        <x:v>通过</x:v>
      </x:c>
      <x:c r="K114" s="2" t="str">
        <x:v>empty</x:v>
      </x:c>
      <x:c r="L114" s="2" t="str">
        <x:v>not_run</x:v>
      </x:c>
      <x:c r="M114" s="11" t="n">
        <x:v>62</x:v>
      </x:c>
      <x:c r="N114" s="11" t="n">
        <x:v>744192</x:v>
      </x:c>
      <x:c r="O114" s="12" t="n">
        <x:v>169.458</x:v>
      </x:c>
      <x:c r="P114" s="9" t="str">
        <x:v>Lead model-turn limit reached.</x:v>
      </x:c>
      <x:c r="Q114" s="9" t="str">
        <x:v>task_output-wsl/lite-baseline-001/instances/django__django-15252/attempt-0001/state.json</x:v>
      </x:c>
      <x:c r="R114" s="2" t="n">
        <x:v>1</x:v>
      </x:c>
    </x:row>
    <x:row r="115" ht="44" customHeight="1">
      <x:c r="A115" s="2" t="str">
        <x:v>django__django-15320</x:v>
      </x:c>
      <x:c r="B115" s="2" t="str">
        <x:v>django/django</x:v>
      </x:c>
      <x:c r="C115" s="2" t="str">
        <x:v>attempt-0001</x:v>
      </x:c>
      <x:c r="D115" s="2" t="str">
        <x:v>resolved</x:v>
      </x:c>
      <x:c r="E115" s="2" t="str">
        <x:v>finished</x:v>
      </x:c>
      <x:c r="F115" s="2" t="str">
        <x:v>completed</x:v>
      </x:c>
      <x:c r="G115" s="13" t="n">
        <x:v>1</x:v>
      </x:c>
      <x:c r="H115" s="13" t="n">
        <x:v>1</x:v>
      </x:c>
      <x:c r="I115" s="13" t="n">
        <x:v>1</x:v>
      </x:c>
      <x:c r="J115" s="2" t="str">
        <x:v>通过</x:v>
      </x:c>
      <x:c r="K115" s="2" t="str">
        <x:v>nonempty</x:v>
      </x:c>
      <x:c r="L115" s="2" t="str">
        <x:v>resolved</x:v>
      </x:c>
      <x:c r="M115" s="11" t="n">
        <x:v>20</x:v>
      </x:c>
      <x:c r="N115" s="11" t="n">
        <x:v>198512</x:v>
      </x:c>
      <x:c r="O115" s="12" t="n">
        <x:v>98.543</x:v>
      </x:c>
      <x:c r="P115" s="9" t="str"/>
      <x:c r="Q115" s="9" t="str">
        <x:v>task_output-wsl/lite-baseline-001/instances/django__django-15320/attempt-0001/state.json</x:v>
      </x:c>
      <x:c r="R115" s="2" t="n">
        <x:v>1</x:v>
      </x:c>
    </x:row>
    <x:row r="116" ht="44" customHeight="1">
      <x:c r="A116" s="2" t="str">
        <x:v>django__django-15347</x:v>
      </x:c>
      <x:c r="B116" s="2" t="str">
        <x:v>django/django</x:v>
      </x:c>
      <x:c r="C116" s="2" t="str">
        <x:v>attempt-0001</x:v>
      </x:c>
      <x:c r="D116" s="2" t="str">
        <x:v>resolved</x:v>
      </x:c>
      <x:c r="E116" s="2" t="str">
        <x:v>finished</x:v>
      </x:c>
      <x:c r="F116" s="2" t="str">
        <x:v>completed</x:v>
      </x:c>
      <x:c r="G116" s="13" t="n">
        <x:v>1</x:v>
      </x:c>
      <x:c r="H116" s="13" t="n">
        <x:v>1</x:v>
      </x:c>
      <x:c r="I116" s="13" t="n">
        <x:v>1</x:v>
      </x:c>
      <x:c r="J116" s="2" t="str">
        <x:v>通过</x:v>
      </x:c>
      <x:c r="K116" s="2" t="str">
        <x:v>nonempty</x:v>
      </x:c>
      <x:c r="L116" s="2" t="str">
        <x:v>resolved</x:v>
      </x:c>
      <x:c r="M116" s="11" t="n">
        <x:v>6</x:v>
      </x:c>
      <x:c r="N116" s="11" t="n">
        <x:v>32883</x:v>
      </x:c>
      <x:c r="O116" s="12" t="n">
        <x:v>10.088</x:v>
      </x:c>
      <x:c r="P116" s="9" t="str"/>
      <x:c r="Q116" s="9" t="str">
        <x:v>task_output-wsl/lite-baseline-001/instances/django__django-15347/attempt-0001/state.json</x:v>
      </x:c>
      <x:c r="R116" s="2" t="n">
        <x:v>1</x:v>
      </x:c>
    </x:row>
    <x:row r="117" ht="44" customHeight="1">
      <x:c r="A117" s="2" t="str">
        <x:v>django__django-15388</x:v>
      </x:c>
      <x:c r="B117" s="2" t="str">
        <x:v>django/django</x:v>
      </x:c>
      <x:c r="C117" s="2" t="str">
        <x:v>attempt-0001</x:v>
      </x:c>
      <x:c r="D117" s="2" t="str">
        <x:v>empty_patch</x:v>
      </x:c>
      <x:c r="E117" s="2" t="str">
        <x:v>finished</x:v>
      </x:c>
      <x:c r="F117" s="2" t="str">
        <x:v>completed</x:v>
      </x:c>
      <x:c r="G117" s="13" t="n">
        <x:v>1</x:v>
      </x:c>
      <x:c r="H117" s="13" t="n">
        <x:v>1</x:v>
      </x:c>
      <x:c r="I117" s="13" t="n">
        <x:v>1</x:v>
      </x:c>
      <x:c r="J117" s="2" t="str">
        <x:v>通过</x:v>
      </x:c>
      <x:c r="K117" s="2" t="str">
        <x:v>empty</x:v>
      </x:c>
      <x:c r="L117" s="2" t="str">
        <x:v>not_run</x:v>
      </x:c>
      <x:c r="M117" s="11" t="n">
        <x:v>11</x:v>
      </x:c>
      <x:c r="N117" s="11" t="n">
        <x:v>108226</x:v>
      </x:c>
      <x:c r="O117" s="12" t="n">
        <x:v>43.587</x:v>
      </x:c>
      <x:c r="P117" s="9" t="str">
        <x:v>Runner collected no working-tree changes.</x:v>
      </x:c>
      <x:c r="Q117" s="9" t="str">
        <x:v>task_output-wsl/lite-baseline-001/instances/django__django-15388/attempt-0001/state.json</x:v>
      </x:c>
      <x:c r="R117" s="2" t="n">
        <x:v>1</x:v>
      </x:c>
    </x:row>
    <x:row r="118" ht="44" customHeight="1">
      <x:c r="A118" s="2" t="str">
        <x:v>django__django-15400</x:v>
      </x:c>
      <x:c r="B118" s="2" t="str">
        <x:v>django/django</x:v>
      </x:c>
      <x:c r="C118" s="2" t="str">
        <x:v>attempt-0001</x:v>
      </x:c>
      <x:c r="D118" s="2" t="str">
        <x:v>empty_patch</x:v>
      </x:c>
      <x:c r="E118" s="2" t="str">
        <x:v>finished</x:v>
      </x:c>
      <x:c r="F118" s="2" t="str">
        <x:v>completed</x:v>
      </x:c>
      <x:c r="G118" s="13" t="n">
        <x:v>1</x:v>
      </x:c>
      <x:c r="H118" s="13" t="n">
        <x:v>1</x:v>
      </x:c>
      <x:c r="I118" s="13" t="n">
        <x:v>1</x:v>
      </x:c>
      <x:c r="J118" s="2" t="str">
        <x:v>通过</x:v>
      </x:c>
      <x:c r="K118" s="2" t="str">
        <x:v>empty</x:v>
      </x:c>
      <x:c r="L118" s="2" t="str">
        <x:v>not_run</x:v>
      </x:c>
      <x:c r="M118" s="11" t="n">
        <x:v>13</x:v>
      </x:c>
      <x:c r="N118" s="11" t="n">
        <x:v>135667</x:v>
      </x:c>
      <x:c r="O118" s="12" t="n">
        <x:v>49.819</x:v>
      </x:c>
      <x:c r="P118" s="9" t="str">
        <x:v>Runner collected no working-tree changes.</x:v>
      </x:c>
      <x:c r="Q118" s="9" t="str">
        <x:v>task_output-wsl/lite-baseline-001/instances/django__django-15400/attempt-0001/state.json</x:v>
      </x:c>
      <x:c r="R118" s="2" t="n">
        <x:v>1</x:v>
      </x:c>
    </x:row>
    <x:row r="119" ht="44" customHeight="1">
      <x:c r="A119" s="2" t="str">
        <x:v>django__django-15498</x:v>
      </x:c>
      <x:c r="B119" s="2" t="str">
        <x:v>django/django</x:v>
      </x:c>
      <x:c r="C119" s="2" t="str">
        <x:v>attempt-0001</x:v>
      </x:c>
      <x:c r="D119" s="2" t="str">
        <x:v>resolved</x:v>
      </x:c>
      <x:c r="E119" s="2" t="str">
        <x:v>finished</x:v>
      </x:c>
      <x:c r="F119" s="2" t="str">
        <x:v>completed</x:v>
      </x:c>
      <x:c r="G119" s="13" t="n">
        <x:v>1</x:v>
      </x:c>
      <x:c r="H119" s="13" t="n">
        <x:v>1</x:v>
      </x:c>
      <x:c r="I119" s="13" t="n">
        <x:v>1</x:v>
      </x:c>
      <x:c r="J119" s="2" t="str">
        <x:v>通过</x:v>
      </x:c>
      <x:c r="K119" s="2" t="str">
        <x:v>nonempty</x:v>
      </x:c>
      <x:c r="L119" s="2" t="str">
        <x:v>resolved</x:v>
      </x:c>
      <x:c r="M119" s="11" t="n">
        <x:v>14</x:v>
      </x:c>
      <x:c r="N119" s="11" t="n">
        <x:v>147127</x:v>
      </x:c>
      <x:c r="O119" s="12" t="n">
        <x:v>36.769</x:v>
      </x:c>
      <x:c r="P119" s="9" t="str"/>
      <x:c r="Q119" s="9" t="str">
        <x:v>task_output-wsl/lite-baseline-001/instances/django__django-15498/attempt-0001/state.json</x:v>
      </x:c>
      <x:c r="R119" s="2" t="n">
        <x:v>1</x:v>
      </x:c>
    </x:row>
    <x:row r="120" ht="44" customHeight="1">
      <x:c r="A120" s="2" t="str">
        <x:v>django__django-15695</x:v>
      </x:c>
      <x:c r="B120" s="2" t="str">
        <x:v>django/django</x:v>
      </x:c>
      <x:c r="C120" s="2" t="str">
        <x:v>attempt-0001</x:v>
      </x:c>
      <x:c r="D120" s="2" t="str">
        <x:v>empty_patch</x:v>
      </x:c>
      <x:c r="E120" s="2" t="str">
        <x:v>finished</x:v>
      </x:c>
      <x:c r="F120" s="2" t="str">
        <x:v>completed</x:v>
      </x:c>
      <x:c r="G120" s="13" t="n">
        <x:v>1</x:v>
      </x:c>
      <x:c r="H120" s="13" t="n">
        <x:v>1</x:v>
      </x:c>
      <x:c r="I120" s="13" t="n">
        <x:v>1</x:v>
      </x:c>
      <x:c r="J120" s="2" t="str">
        <x:v>通过</x:v>
      </x:c>
      <x:c r="K120" s="2" t="str">
        <x:v>empty</x:v>
      </x:c>
      <x:c r="L120" s="2" t="str">
        <x:v>not_run</x:v>
      </x:c>
      <x:c r="M120" s="11" t="n">
        <x:v>21</x:v>
      </x:c>
      <x:c r="N120" s="11" t="n">
        <x:v>212555</x:v>
      </x:c>
      <x:c r="O120" s="12" t="n">
        <x:v>112.217</x:v>
      </x:c>
      <x:c r="P120" s="9" t="str">
        <x:v>Runner collected no working-tree changes.</x:v>
      </x:c>
      <x:c r="Q120" s="9" t="str">
        <x:v>task_output-wsl/lite-baseline-001/instances/django__django-15695/attempt-0001/state.json</x:v>
      </x:c>
      <x:c r="R120" s="2" t="n">
        <x:v>1</x:v>
      </x:c>
    </x:row>
    <x:row r="121" ht="44" customHeight="1">
      <x:c r="A121" s="2" t="str">
        <x:v>django__django-15738</x:v>
      </x:c>
      <x:c r="B121" s="2" t="str">
        <x:v>django/django</x:v>
      </x:c>
      <x:c r="C121" s="2" t="str">
        <x:v>attempt-0001</x:v>
      </x:c>
      <x:c r="D121" s="2" t="str">
        <x:v>resolved</x:v>
      </x:c>
      <x:c r="E121" s="2" t="str">
        <x:v>finished</x:v>
      </x:c>
      <x:c r="F121" s="2" t="str">
        <x:v>limit</x:v>
      </x:c>
      <x:c r="G121" s="13" t="n">
        <x:v>1</x:v>
      </x:c>
      <x:c r="H121" s="13" t="n">
        <x:v>1</x:v>
      </x:c>
      <x:c r="I121" s="13" t="n">
        <x:v>1</x:v>
      </x:c>
      <x:c r="J121" s="2" t="str">
        <x:v>通过</x:v>
      </x:c>
      <x:c r="K121" s="2" t="str">
        <x:v>nonempty</x:v>
      </x:c>
      <x:c r="L121" s="2" t="str">
        <x:v>resolved</x:v>
      </x:c>
      <x:c r="M121" s="11" t="n">
        <x:v>61</x:v>
      </x:c>
      <x:c r="N121" s="11" t="n">
        <x:v>661191</x:v>
      </x:c>
      <x:c r="O121" s="12" t="n">
        <x:v>111.806</x:v>
      </x:c>
      <x:c r="P121" s="9" t="str">
        <x:v>Lead model-turn limit reached.</x:v>
      </x:c>
      <x:c r="Q121" s="9" t="str">
        <x:v>task_output-wsl/lite-baseline-001/instances/django__django-15738/attempt-0001/state.json</x:v>
      </x:c>
      <x:c r="R121" s="2" t="n">
        <x:v>1</x:v>
      </x:c>
    </x:row>
    <x:row r="122" ht="44" customHeight="1">
      <x:c r="A122" s="2" t="str">
        <x:v>django__django-15781</x:v>
      </x:c>
      <x:c r="B122" s="2" t="str">
        <x:v>django/django</x:v>
      </x:c>
      <x:c r="C122" s="2" t="str">
        <x:v>attempt-0001</x:v>
      </x:c>
      <x:c r="D122" s="2" t="str">
        <x:v>resolved</x:v>
      </x:c>
      <x:c r="E122" s="2" t="str">
        <x:v>finished</x:v>
      </x:c>
      <x:c r="F122" s="2" t="str">
        <x:v>completed</x:v>
      </x:c>
      <x:c r="G122" s="13" t="n">
        <x:v>1</x:v>
      </x:c>
      <x:c r="H122" s="13" t="n">
        <x:v>1</x:v>
      </x:c>
      <x:c r="I122" s="13" t="n">
        <x:v>1</x:v>
      </x:c>
      <x:c r="J122" s="2" t="str">
        <x:v>通过</x:v>
      </x:c>
      <x:c r="K122" s="2" t="str">
        <x:v>nonempty</x:v>
      </x:c>
      <x:c r="L122" s="2" t="str">
        <x:v>resolved</x:v>
      </x:c>
      <x:c r="M122" s="11" t="n">
        <x:v>28</x:v>
      </x:c>
      <x:c r="N122" s="11" t="n">
        <x:v>291021</x:v>
      </x:c>
      <x:c r="O122" s="12" t="n">
        <x:v>114.886</x:v>
      </x:c>
      <x:c r="P122" s="9" t="str"/>
      <x:c r="Q122" s="9" t="str">
        <x:v>task_output-wsl/lite-baseline-001/instances/django__django-15781/attempt-0001/state.json</x:v>
      </x:c>
      <x:c r="R122" s="2" t="n">
        <x:v>1</x:v>
      </x:c>
    </x:row>
    <x:row r="123" ht="44" customHeight="1">
      <x:c r="A123" s="2" t="str">
        <x:v>django__django-15789</x:v>
      </x:c>
      <x:c r="B123" s="2" t="str">
        <x:v>django/django</x:v>
      </x:c>
      <x:c r="C123" s="2" t="str">
        <x:v>attempt-0001</x:v>
      </x:c>
      <x:c r="D123" s="2" t="str">
        <x:v>resolved</x:v>
      </x:c>
      <x:c r="E123" s="2" t="str">
        <x:v>finished</x:v>
      </x:c>
      <x:c r="F123" s="2" t="str">
        <x:v>completed</x:v>
      </x:c>
      <x:c r="G123" s="13" t="n">
        <x:v>1</x:v>
      </x:c>
      <x:c r="H123" s="13" t="n">
        <x:v>1</x:v>
      </x:c>
      <x:c r="I123" s="13" t="n">
        <x:v>1</x:v>
      </x:c>
      <x:c r="J123" s="2" t="str">
        <x:v>通过</x:v>
      </x:c>
      <x:c r="K123" s="2" t="str">
        <x:v>nonempty</x:v>
      </x:c>
      <x:c r="L123" s="2" t="str">
        <x:v>resolved</x:v>
      </x:c>
      <x:c r="M123" s="11" t="n">
        <x:v>18</x:v>
      </x:c>
      <x:c r="N123" s="11" t="n">
        <x:v>177701</x:v>
      </x:c>
      <x:c r="O123" s="12" t="n">
        <x:v>41.022</x:v>
      </x:c>
      <x:c r="P123" s="9" t="str"/>
      <x:c r="Q123" s="9" t="str">
        <x:v>task_output-wsl/lite-baseline-001/instances/django__django-15789/attempt-0001/state.json</x:v>
      </x:c>
      <x:c r="R123" s="2" t="n">
        <x:v>1</x:v>
      </x:c>
    </x:row>
    <x:row r="124" ht="44" customHeight="1">
      <x:c r="A124" s="2" t="str">
        <x:v>django__django-15790</x:v>
      </x:c>
      <x:c r="B124" s="2" t="str">
        <x:v>django/django</x:v>
      </x:c>
      <x:c r="C124" s="2" t="str">
        <x:v>attempt-0001</x:v>
      </x:c>
      <x:c r="D124" s="2" t="str">
        <x:v>resolved</x:v>
      </x:c>
      <x:c r="E124" s="2" t="str">
        <x:v>finished</x:v>
      </x:c>
      <x:c r="F124" s="2" t="str">
        <x:v>completed</x:v>
      </x:c>
      <x:c r="G124" s="13" t="n">
        <x:v>1</x:v>
      </x:c>
      <x:c r="H124" s="13" t="n">
        <x:v>1</x:v>
      </x:c>
      <x:c r="I124" s="13" t="n">
        <x:v>1</x:v>
      </x:c>
      <x:c r="J124" s="2" t="str">
        <x:v>通过</x:v>
      </x:c>
      <x:c r="K124" s="2" t="str">
        <x:v>nonempty</x:v>
      </x:c>
      <x:c r="L124" s="2" t="str">
        <x:v>resolved</x:v>
      </x:c>
      <x:c r="M124" s="11" t="n">
        <x:v>14</x:v>
      </x:c>
      <x:c r="N124" s="11" t="n">
        <x:v>112930</x:v>
      </x:c>
      <x:c r="O124" s="12" t="n">
        <x:v>29.386</x:v>
      </x:c>
      <x:c r="P124" s="9" t="str"/>
      <x:c r="Q124" s="9" t="str">
        <x:v>task_output-wsl/lite-baseline-001/instances/django__django-15790/attempt-0001/state.json</x:v>
      </x:c>
      <x:c r="R124" s="2" t="n">
        <x:v>1</x:v>
      </x:c>
    </x:row>
    <x:row r="125" ht="44" customHeight="1">
      <x:c r="A125" s="2" t="str">
        <x:v>django__django-15814</x:v>
      </x:c>
      <x:c r="B125" s="2" t="str">
        <x:v>django/django</x:v>
      </x:c>
      <x:c r="C125" s="2" t="str">
        <x:v>attempt-0001</x:v>
      </x:c>
      <x:c r="D125" s="2" t="str">
        <x:v>resolved</x:v>
      </x:c>
      <x:c r="E125" s="2" t="str">
        <x:v>finished</x:v>
      </x:c>
      <x:c r="F125" s="2" t="str">
        <x:v>completed</x:v>
      </x:c>
      <x:c r="G125" s="13" t="n">
        <x:v>1</x:v>
      </x:c>
      <x:c r="H125" s="13" t="n">
        <x:v>1</x:v>
      </x:c>
      <x:c r="I125" s="13" t="n">
        <x:v>1</x:v>
      </x:c>
      <x:c r="J125" s="2" t="str">
        <x:v>通过</x:v>
      </x:c>
      <x:c r="K125" s="2" t="str">
        <x:v>nonempty</x:v>
      </x:c>
      <x:c r="L125" s="2" t="str">
        <x:v>resolved</x:v>
      </x:c>
      <x:c r="M125" s="11" t="n">
        <x:v>36</x:v>
      </x:c>
      <x:c r="N125" s="11" t="n">
        <x:v>402576</x:v>
      </x:c>
      <x:c r="O125" s="12" t="n">
        <x:v>70.684</x:v>
      </x:c>
      <x:c r="P125" s="9" t="str"/>
      <x:c r="Q125" s="9" t="str">
        <x:v>task_output-wsl/lite-baseline-001/instances/django__django-15814/attempt-0001/state.json</x:v>
      </x:c>
      <x:c r="R125" s="2" t="n">
        <x:v>1</x:v>
      </x:c>
    </x:row>
    <x:row r="126" ht="44" customHeight="1">
      <x:c r="A126" s="2" t="str">
        <x:v>django__django-15819</x:v>
      </x:c>
      <x:c r="B126" s="2" t="str">
        <x:v>django/django</x:v>
      </x:c>
      <x:c r="C126" s="2" t="str">
        <x:v>attempt-0001</x:v>
      </x:c>
      <x:c r="D126" s="2" t="str">
        <x:v>resolved</x:v>
      </x:c>
      <x:c r="E126" s="2" t="str">
        <x:v>finished</x:v>
      </x:c>
      <x:c r="F126" s="2" t="str">
        <x:v>completed</x:v>
      </x:c>
      <x:c r="G126" s="13" t="n">
        <x:v>1</x:v>
      </x:c>
      <x:c r="H126" s="13" t="n">
        <x:v>1</x:v>
      </x:c>
      <x:c r="I126" s="13" t="n">
        <x:v>1</x:v>
      </x:c>
      <x:c r="J126" s="2" t="str">
        <x:v>通过</x:v>
      </x:c>
      <x:c r="K126" s="2" t="str">
        <x:v>nonempty</x:v>
      </x:c>
      <x:c r="L126" s="2" t="str">
        <x:v>resolved</x:v>
      </x:c>
      <x:c r="M126" s="11" t="n">
        <x:v>23</x:v>
      </x:c>
      <x:c r="N126" s="11" t="n">
        <x:v>237027</x:v>
      </x:c>
      <x:c r="O126" s="12" t="n">
        <x:v>59.06</x:v>
      </x:c>
      <x:c r="P126" s="9" t="str"/>
      <x:c r="Q126" s="9" t="str">
        <x:v>task_output-wsl/lite-baseline-001/instances/django__django-15819/attempt-0001/state.json</x:v>
      </x:c>
      <x:c r="R126" s="2" t="n">
        <x:v>1</x:v>
      </x:c>
    </x:row>
    <x:row r="127" ht="44" customHeight="1">
      <x:c r="A127" s="2" t="str">
        <x:v>django__django-15851</x:v>
      </x:c>
      <x:c r="B127" s="2" t="str">
        <x:v>django/django</x:v>
      </x:c>
      <x:c r="C127" s="2" t="str">
        <x:v>attempt-0001</x:v>
      </x:c>
      <x:c r="D127" s="2" t="str">
        <x:v>resolved</x:v>
      </x:c>
      <x:c r="E127" s="2" t="str">
        <x:v>finished</x:v>
      </x:c>
      <x:c r="F127" s="2" t="str">
        <x:v>completed</x:v>
      </x:c>
      <x:c r="G127" s="13" t="n">
        <x:v>1</x:v>
      </x:c>
      <x:c r="H127" s="13" t="n">
        <x:v>1</x:v>
      </x:c>
      <x:c r="I127" s="13" t="n">
        <x:v>1</x:v>
      </x:c>
      <x:c r="J127" s="2" t="str">
        <x:v>通过</x:v>
      </x:c>
      <x:c r="K127" s="2" t="str">
        <x:v>nonempty</x:v>
      </x:c>
      <x:c r="L127" s="2" t="str">
        <x:v>resolved</x:v>
      </x:c>
      <x:c r="M127" s="11" t="n">
        <x:v>11</x:v>
      </x:c>
      <x:c r="N127" s="11" t="n">
        <x:v>53107</x:v>
      </x:c>
      <x:c r="O127" s="12" t="n">
        <x:v>14.233</x:v>
      </x:c>
      <x:c r="P127" s="9" t="str"/>
      <x:c r="Q127" s="9" t="str">
        <x:v>task_output-wsl/lite-baseline-001/instances/django__django-15851/attempt-0001/state.json</x:v>
      </x:c>
      <x:c r="R127" s="2" t="n">
        <x:v>1</x:v>
      </x:c>
    </x:row>
    <x:row r="128" ht="44" customHeight="1">
      <x:c r="A128" s="2" t="str">
        <x:v>django__django-15902</x:v>
      </x:c>
      <x:c r="B128" s="2" t="str">
        <x:v>django/django</x:v>
      </x:c>
      <x:c r="C128" s="2" t="str">
        <x:v>attempt-0001</x:v>
      </x:c>
      <x:c r="D128" s="2" t="str">
        <x:v>resolved</x:v>
      </x:c>
      <x:c r="E128" s="2" t="str">
        <x:v>finished</x:v>
      </x:c>
      <x:c r="F128" s="2" t="str">
        <x:v>completed</x:v>
      </x:c>
      <x:c r="G128" s="13" t="n">
        <x:v>1</x:v>
      </x:c>
      <x:c r="H128" s="13" t="n">
        <x:v>1</x:v>
      </x:c>
      <x:c r="I128" s="13" t="n">
        <x:v>1</x:v>
      </x:c>
      <x:c r="J128" s="2" t="str">
        <x:v>通过</x:v>
      </x:c>
      <x:c r="K128" s="2" t="str">
        <x:v>nonempty</x:v>
      </x:c>
      <x:c r="L128" s="2" t="str">
        <x:v>resolved</x:v>
      </x:c>
      <x:c r="M128" s="11" t="n">
        <x:v>19</x:v>
      </x:c>
      <x:c r="N128" s="11" t="n">
        <x:v>192436</x:v>
      </x:c>
      <x:c r="O128" s="12" t="n">
        <x:v>45.969</x:v>
      </x:c>
      <x:c r="P128" s="9" t="str"/>
      <x:c r="Q128" s="9" t="str">
        <x:v>task_output-wsl/lite-baseline-001/instances/django__django-15902/attempt-0001/state.json</x:v>
      </x:c>
      <x:c r="R128" s="2" t="n">
        <x:v>1</x:v>
      </x:c>
    </x:row>
    <x:row r="129" ht="44" customHeight="1">
      <x:c r="A129" s="2" t="str">
        <x:v>django__django-15996</x:v>
      </x:c>
      <x:c r="B129" s="2" t="str">
        <x:v>django/django</x:v>
      </x:c>
      <x:c r="C129" s="2" t="str">
        <x:v>attempt-0001</x:v>
      </x:c>
      <x:c r="D129" s="2" t="str">
        <x:v>empty_patch</x:v>
      </x:c>
      <x:c r="E129" s="2" t="str">
        <x:v>finished</x:v>
      </x:c>
      <x:c r="F129" s="2" t="str">
        <x:v>completed</x:v>
      </x:c>
      <x:c r="G129" s="13" t="n">
        <x:v>1</x:v>
      </x:c>
      <x:c r="H129" s="13" t="n">
        <x:v>1</x:v>
      </x:c>
      <x:c r="I129" s="13" t="n">
        <x:v>1</x:v>
      </x:c>
      <x:c r="J129" s="2" t="str">
        <x:v>通过</x:v>
      </x:c>
      <x:c r="K129" s="2" t="str">
        <x:v>empty</x:v>
      </x:c>
      <x:c r="L129" s="2" t="str">
        <x:v>not_run</x:v>
      </x:c>
      <x:c r="M129" s="11" t="n">
        <x:v>22</x:v>
      </x:c>
      <x:c r="N129" s="11" t="n">
        <x:v>214260</x:v>
      </x:c>
      <x:c r="O129" s="12" t="n">
        <x:v>91.719</x:v>
      </x:c>
      <x:c r="P129" s="9" t="str">
        <x:v>Runner collected no working-tree changes.</x:v>
      </x:c>
      <x:c r="Q129" s="9" t="str">
        <x:v>task_output-wsl/lite-baseline-001/instances/django__django-15996/attempt-0001/state.json</x:v>
      </x:c>
      <x:c r="R129" s="2" t="n">
        <x:v>1</x:v>
      </x:c>
    </x:row>
    <x:row r="130" ht="44" customHeight="1">
      <x:c r="A130" s="2" t="str">
        <x:v>django__django-16041</x:v>
      </x:c>
      <x:c r="B130" s="2" t="str">
        <x:v>django/django</x:v>
      </x:c>
      <x:c r="C130" s="2" t="str">
        <x:v>attempt-0001</x:v>
      </x:c>
      <x:c r="D130" s="2" t="str">
        <x:v>resolved</x:v>
      </x:c>
      <x:c r="E130" s="2" t="str">
        <x:v>finished</x:v>
      </x:c>
      <x:c r="F130" s="2" t="str">
        <x:v>completed</x:v>
      </x:c>
      <x:c r="G130" s="13" t="n">
        <x:v>1</x:v>
      </x:c>
      <x:c r="H130" s="13" t="n">
        <x:v>1</x:v>
      </x:c>
      <x:c r="I130" s="13" t="n">
        <x:v>1</x:v>
      </x:c>
      <x:c r="J130" s="2" t="str">
        <x:v>通过</x:v>
      </x:c>
      <x:c r="K130" s="2" t="str">
        <x:v>nonempty</x:v>
      </x:c>
      <x:c r="L130" s="2" t="str">
        <x:v>resolved</x:v>
      </x:c>
      <x:c r="M130" s="11" t="n">
        <x:v>15</x:v>
      </x:c>
      <x:c r="N130" s="11" t="n">
        <x:v>137061</x:v>
      </x:c>
      <x:c r="O130" s="12" t="n">
        <x:v>31.129</x:v>
      </x:c>
      <x:c r="P130" s="9" t="str"/>
      <x:c r="Q130" s="9" t="str">
        <x:v>task_output-wsl/lite-baseline-001/instances/django__django-16041/attempt-0001/state.json</x:v>
      </x:c>
      <x:c r="R130" s="2" t="n">
        <x:v>1</x:v>
      </x:c>
    </x:row>
    <x:row r="131" ht="44" customHeight="1">
      <x:c r="A131" s="2" t="str">
        <x:v>django__django-16046</x:v>
      </x:c>
      <x:c r="B131" s="2" t="str">
        <x:v>django/django</x:v>
      </x:c>
      <x:c r="C131" s="2" t="str">
        <x:v>attempt-0001</x:v>
      </x:c>
      <x:c r="D131" s="2" t="str">
        <x:v>resolved</x:v>
      </x:c>
      <x:c r="E131" s="2" t="str">
        <x:v>finished</x:v>
      </x:c>
      <x:c r="F131" s="2" t="str">
        <x:v>completed</x:v>
      </x:c>
      <x:c r="G131" s="13" t="n">
        <x:v>1</x:v>
      </x:c>
      <x:c r="H131" s="13" t="n">
        <x:v>1</x:v>
      </x:c>
      <x:c r="I131" s="13" t="n">
        <x:v>1</x:v>
      </x:c>
      <x:c r="J131" s="2" t="str">
        <x:v>通过</x:v>
      </x:c>
      <x:c r="K131" s="2" t="str">
        <x:v>nonempty</x:v>
      </x:c>
      <x:c r="L131" s="2" t="str">
        <x:v>resolved</x:v>
      </x:c>
      <x:c r="M131" s="11" t="n">
        <x:v>18</x:v>
      </x:c>
      <x:c r="N131" s="11" t="n">
        <x:v>167366</x:v>
      </x:c>
      <x:c r="O131" s="12" t="n">
        <x:v>48.299</x:v>
      </x:c>
      <x:c r="P131" s="9" t="str"/>
      <x:c r="Q131" s="9" t="str">
        <x:v>task_output-wsl/lite-baseline-001/instances/django__django-16046/attempt-0001/state.json</x:v>
      </x:c>
      <x:c r="R131" s="2" t="n">
        <x:v>1</x:v>
      </x:c>
    </x:row>
    <x:row r="132" ht="44" customHeight="1">
      <x:c r="A132" s="2" t="str">
        <x:v>django__django-16139</x:v>
      </x:c>
      <x:c r="B132" s="2" t="str">
        <x:v>django/django</x:v>
      </x:c>
      <x:c r="C132" s="2" t="str">
        <x:v>attempt-0001</x:v>
      </x:c>
      <x:c r="D132" s="2" t="str">
        <x:v>resolved</x:v>
      </x:c>
      <x:c r="E132" s="2" t="str">
        <x:v>finished</x:v>
      </x:c>
      <x:c r="F132" s="2" t="str">
        <x:v>completed</x:v>
      </x:c>
      <x:c r="G132" s="13" t="n">
        <x:v>1</x:v>
      </x:c>
      <x:c r="H132" s="13" t="n">
        <x:v>1</x:v>
      </x:c>
      <x:c r="I132" s="13" t="n">
        <x:v>1</x:v>
      </x:c>
      <x:c r="J132" s="2" t="str">
        <x:v>通过</x:v>
      </x:c>
      <x:c r="K132" s="2" t="str">
        <x:v>nonempty</x:v>
      </x:c>
      <x:c r="L132" s="2" t="str">
        <x:v>resolved</x:v>
      </x:c>
      <x:c r="M132" s="11" t="n">
        <x:v>13</x:v>
      </x:c>
      <x:c r="N132" s="11" t="n">
        <x:v>110666</x:v>
      </x:c>
      <x:c r="O132" s="12" t="n">
        <x:v>34.971</x:v>
      </x:c>
      <x:c r="P132" s="9" t="str"/>
      <x:c r="Q132" s="9" t="str">
        <x:v>task_output-wsl/lite-baseline-001/instances/django__django-16139/attempt-0001/state.json</x:v>
      </x:c>
      <x:c r="R132" s="2" t="n">
        <x:v>1</x:v>
      </x:c>
    </x:row>
    <x:row r="133" ht="44" customHeight="1">
      <x:c r="A133" s="2" t="str">
        <x:v>django__django-16229</x:v>
      </x:c>
      <x:c r="B133" s="2" t="str">
        <x:v>django/django</x:v>
      </x:c>
      <x:c r="C133" s="2" t="str">
        <x:v>attempt-0001</x:v>
      </x:c>
      <x:c r="D133" s="2" t="str">
        <x:v>resolved</x:v>
      </x:c>
      <x:c r="E133" s="2" t="str">
        <x:v>finished</x:v>
      </x:c>
      <x:c r="F133" s="2" t="str">
        <x:v>limit</x:v>
      </x:c>
      <x:c r="G133" s="13" t="n">
        <x:v>1</x:v>
      </x:c>
      <x:c r="H133" s="13" t="n">
        <x:v>1</x:v>
      </x:c>
      <x:c r="I133" s="13" t="n">
        <x:v>1</x:v>
      </x:c>
      <x:c r="J133" s="2" t="str">
        <x:v>通过</x:v>
      </x:c>
      <x:c r="K133" s="2" t="str">
        <x:v>nonempty</x:v>
      </x:c>
      <x:c r="L133" s="2" t="str">
        <x:v>resolved</x:v>
      </x:c>
      <x:c r="M133" s="11" t="n">
        <x:v>63</x:v>
      </x:c>
      <x:c r="N133" s="11" t="n">
        <x:v>653513</x:v>
      </x:c>
      <x:c r="O133" s="12" t="n">
        <x:v>154.657</x:v>
      </x:c>
      <x:c r="P133" s="9" t="str">
        <x:v>Lead model-turn limit reached.</x:v>
      </x:c>
      <x:c r="Q133" s="9" t="str">
        <x:v>task_output-wsl/lite-baseline-001/instances/django__django-16229/attempt-0001/state.json</x:v>
      </x:c>
      <x:c r="R133" s="2" t="n">
        <x:v>1</x:v>
      </x:c>
    </x:row>
    <x:row r="134" ht="44" customHeight="1">
      <x:c r="A134" s="2" t="str">
        <x:v>django__django-16255</x:v>
      </x:c>
      <x:c r="B134" s="2" t="str">
        <x:v>django/django</x:v>
      </x:c>
      <x:c r="C134" s="2" t="str">
        <x:v>attempt-0001</x:v>
      </x:c>
      <x:c r="D134" s="2" t="str">
        <x:v>resolved</x:v>
      </x:c>
      <x:c r="E134" s="2" t="str">
        <x:v>finished</x:v>
      </x:c>
      <x:c r="F134" s="2" t="str">
        <x:v>completed</x:v>
      </x:c>
      <x:c r="G134" s="13" t="n">
        <x:v>1</x:v>
      </x:c>
      <x:c r="H134" s="13" t="n">
        <x:v>1</x:v>
      </x:c>
      <x:c r="I134" s="13" t="n">
        <x:v>1</x:v>
      </x:c>
      <x:c r="J134" s="2" t="str">
        <x:v>通过</x:v>
      </x:c>
      <x:c r="K134" s="2" t="str">
        <x:v>nonempty</x:v>
      </x:c>
      <x:c r="L134" s="2" t="str">
        <x:v>resolved</x:v>
      </x:c>
      <x:c r="M134" s="11" t="n">
        <x:v>7</x:v>
      </x:c>
      <x:c r="N134" s="11" t="n">
        <x:v>32309</x:v>
      </x:c>
      <x:c r="O134" s="12" t="n">
        <x:v>9.993</x:v>
      </x:c>
      <x:c r="P134" s="9" t="str"/>
      <x:c r="Q134" s="9" t="str">
        <x:v>task_output-wsl/lite-baseline-001/instances/django__django-16255/attempt-0001/state.json</x:v>
      </x:c>
      <x:c r="R134" s="2" t="n">
        <x:v>1</x:v>
      </x:c>
    </x:row>
    <x:row r="135" ht="44" customHeight="1">
      <x:c r="A135" s="2" t="str">
        <x:v>django__django-16379</x:v>
      </x:c>
      <x:c r="B135" s="2" t="str">
        <x:v>django/django</x:v>
      </x:c>
      <x:c r="C135" s="2" t="str">
        <x:v>attempt-0001</x:v>
      </x:c>
      <x:c r="D135" s="2" t="str">
        <x:v>resolved</x:v>
      </x:c>
      <x:c r="E135" s="2" t="str">
        <x:v>finished</x:v>
      </x:c>
      <x:c r="F135" s="2" t="str">
        <x:v>completed</x:v>
      </x:c>
      <x:c r="G135" s="13" t="n">
        <x:v>1</x:v>
      </x:c>
      <x:c r="H135" s="13" t="n">
        <x:v>1</x:v>
      </x:c>
      <x:c r="I135" s="13" t="n">
        <x:v>1</x:v>
      </x:c>
      <x:c r="J135" s="2" t="str">
        <x:v>通过</x:v>
      </x:c>
      <x:c r="K135" s="2" t="str">
        <x:v>nonempty</x:v>
      </x:c>
      <x:c r="L135" s="2" t="str">
        <x:v>resolved</x:v>
      </x:c>
      <x:c r="M135" s="11" t="n">
        <x:v>14</x:v>
      </x:c>
      <x:c r="N135" s="11" t="n">
        <x:v>113050</x:v>
      </x:c>
      <x:c r="O135" s="12" t="n">
        <x:v>44.618</x:v>
      </x:c>
      <x:c r="P135" s="9" t="str"/>
      <x:c r="Q135" s="9" t="str">
        <x:v>task_output-wsl/lite-baseline-001/instances/django__django-16379/attempt-0001/state.json</x:v>
      </x:c>
      <x:c r="R135" s="2" t="n">
        <x:v>1</x:v>
      </x:c>
    </x:row>
    <x:row r="136" ht="44" customHeight="1">
      <x:c r="A136" s="2" t="str">
        <x:v>django__django-16400</x:v>
      </x:c>
      <x:c r="B136" s="2" t="str">
        <x:v>django/django</x:v>
      </x:c>
      <x:c r="C136" s="2" t="str">
        <x:v>attempt-0001</x:v>
      </x:c>
      <x:c r="D136" s="2" t="str">
        <x:v>resolved</x:v>
      </x:c>
      <x:c r="E136" s="2" t="str">
        <x:v>finished</x:v>
      </x:c>
      <x:c r="F136" s="2" t="str">
        <x:v>completed</x:v>
      </x:c>
      <x:c r="G136" s="13" t="n">
        <x:v>1</x:v>
      </x:c>
      <x:c r="H136" s="13" t="n">
        <x:v>1</x:v>
      </x:c>
      <x:c r="I136" s="13" t="n">
        <x:v>1</x:v>
      </x:c>
      <x:c r="J136" s="2" t="str">
        <x:v>通过</x:v>
      </x:c>
      <x:c r="K136" s="2" t="str">
        <x:v>nonempty</x:v>
      </x:c>
      <x:c r="L136" s="2" t="str">
        <x:v>resolved</x:v>
      </x:c>
      <x:c r="M136" s="11" t="n">
        <x:v>33</x:v>
      </x:c>
      <x:c r="N136" s="11" t="n">
        <x:v>325203</x:v>
      </x:c>
      <x:c r="O136" s="12" t="n">
        <x:v>85.657</x:v>
      </x:c>
      <x:c r="P136" s="9" t="str"/>
      <x:c r="Q136" s="9" t="str">
        <x:v>task_output-wsl/lite-baseline-001/instances/django__django-16400/attempt-0001/state.json</x:v>
      </x:c>
      <x:c r="R136" s="2" t="n">
        <x:v>1</x:v>
      </x:c>
    </x:row>
    <x:row r="137" ht="44" customHeight="1">
      <x:c r="A137" s="2" t="str">
        <x:v>django__django-16408</x:v>
      </x:c>
      <x:c r="B137" s="2" t="str">
        <x:v>django/django</x:v>
      </x:c>
      <x:c r="C137" s="2" t="str">
        <x:v>attempt-0001</x:v>
      </x:c>
      <x:c r="D137" s="2" t="str">
        <x:v>empty_patch</x:v>
      </x:c>
      <x:c r="E137" s="2" t="str">
        <x:v>finished</x:v>
      </x:c>
      <x:c r="F137" s="2" t="str">
        <x:v>limit</x:v>
      </x:c>
      <x:c r="G137" s="13" t="n">
        <x:v>1</x:v>
      </x:c>
      <x:c r="H137" s="13" t="n">
        <x:v>1</x:v>
      </x:c>
      <x:c r="I137" s="13" t="n">
        <x:v>1</x:v>
      </x:c>
      <x:c r="J137" s="2" t="str">
        <x:v>通过</x:v>
      </x:c>
      <x:c r="K137" s="2" t="str">
        <x:v>empty</x:v>
      </x:c>
      <x:c r="L137" s="2" t="str">
        <x:v>not_run</x:v>
      </x:c>
      <x:c r="M137" s="11" t="n">
        <x:v>61</x:v>
      </x:c>
      <x:c r="N137" s="11" t="n">
        <x:v>683025</x:v>
      </x:c>
      <x:c r="O137" s="12" t="n">
        <x:v>112.128</x:v>
      </x:c>
      <x:c r="P137" s="9" t="str">
        <x:v>Lead model-turn limit reached.</x:v>
      </x:c>
      <x:c r="Q137" s="9" t="str">
        <x:v>task_output-wsl/lite-baseline-001/instances/django__django-16408/attempt-0001/state.json</x:v>
      </x:c>
      <x:c r="R137" s="2" t="n">
        <x:v>1</x:v>
      </x:c>
    </x:row>
    <x:row r="138" ht="44" customHeight="1">
      <x:c r="A138" s="2" t="str">
        <x:v>django__django-16527</x:v>
      </x:c>
      <x:c r="B138" s="2" t="str">
        <x:v>django/django</x:v>
      </x:c>
      <x:c r="C138" s="2" t="str">
        <x:v>attempt-0001</x:v>
      </x:c>
      <x:c r="D138" s="2" t="str">
        <x:v>resolved</x:v>
      </x:c>
      <x:c r="E138" s="2" t="str">
        <x:v>finished</x:v>
      </x:c>
      <x:c r="F138" s="2" t="str">
        <x:v>completed</x:v>
      </x:c>
      <x:c r="G138" s="13" t="n">
        <x:v>1</x:v>
      </x:c>
      <x:c r="H138" s="13" t="n">
        <x:v>1</x:v>
      </x:c>
      <x:c r="I138" s="13" t="n">
        <x:v>1</x:v>
      </x:c>
      <x:c r="J138" s="2" t="str">
        <x:v>通过</x:v>
      </x:c>
      <x:c r="K138" s="2" t="str">
        <x:v>nonempty</x:v>
      </x:c>
      <x:c r="L138" s="2" t="str">
        <x:v>resolved</x:v>
      </x:c>
      <x:c r="M138" s="11" t="n">
        <x:v>12</x:v>
      </x:c>
      <x:c r="N138" s="11" t="n">
        <x:v>103290</x:v>
      </x:c>
      <x:c r="O138" s="12" t="n">
        <x:v>23.913</x:v>
      </x:c>
      <x:c r="P138" s="9" t="str"/>
      <x:c r="Q138" s="9" t="str">
        <x:v>task_output-wsl/lite-baseline-001/instances/django__django-16527/attempt-0001/state.json</x:v>
      </x:c>
      <x:c r="R138" s="2" t="n">
        <x:v>1</x:v>
      </x:c>
    </x:row>
    <x:row r="139" ht="44" customHeight="1">
      <x:c r="A139" s="2" t="str">
        <x:v>django__django-16595</x:v>
      </x:c>
      <x:c r="B139" s="2" t="str">
        <x:v>django/django</x:v>
      </x:c>
      <x:c r="C139" s="2" t="str">
        <x:v>attempt-0001</x:v>
      </x:c>
      <x:c r="D139" s="2" t="str">
        <x:v>resolved</x:v>
      </x:c>
      <x:c r="E139" s="2" t="str">
        <x:v>finished</x:v>
      </x:c>
      <x:c r="F139" s="2" t="str">
        <x:v>completed</x:v>
      </x:c>
      <x:c r="G139" s="13" t="n">
        <x:v>1</x:v>
      </x:c>
      <x:c r="H139" s="13" t="n">
        <x:v>1</x:v>
      </x:c>
      <x:c r="I139" s="13" t="n">
        <x:v>1</x:v>
      </x:c>
      <x:c r="J139" s="2" t="str">
        <x:v>通过</x:v>
      </x:c>
      <x:c r="K139" s="2" t="str">
        <x:v>nonempty</x:v>
      </x:c>
      <x:c r="L139" s="2" t="str">
        <x:v>resolved</x:v>
      </x:c>
      <x:c r="M139" s="11" t="n">
        <x:v>23</x:v>
      </x:c>
      <x:c r="N139" s="11" t="n">
        <x:v>193607</x:v>
      </x:c>
      <x:c r="O139" s="12" t="n">
        <x:v>60.729</x:v>
      </x:c>
      <x:c r="P139" s="9" t="str"/>
      <x:c r="Q139" s="9" t="str">
        <x:v>task_output-wsl/lite-baseline-001/instances/django__django-16595/attempt-0001/state.json</x:v>
      </x:c>
      <x:c r="R139" s="2" t="n">
        <x:v>1</x:v>
      </x:c>
    </x:row>
    <x:row r="140" ht="44" customHeight="1">
      <x:c r="A140" s="2" t="str">
        <x:v>django__django-16816</x:v>
      </x:c>
      <x:c r="B140" s="2" t="str">
        <x:v>django/django</x:v>
      </x:c>
      <x:c r="C140" s="2" t="str">
        <x:v>attempt-0001</x:v>
      </x:c>
      <x:c r="D140" s="2" t="str">
        <x:v>empty_patch</x:v>
      </x:c>
      <x:c r="E140" s="2" t="str">
        <x:v>finished</x:v>
      </x:c>
      <x:c r="F140" s="2" t="str">
        <x:v>completed</x:v>
      </x:c>
      <x:c r="G140" s="13" t="n">
        <x:v>1</x:v>
      </x:c>
      <x:c r="H140" s="13" t="n">
        <x:v>1</x:v>
      </x:c>
      <x:c r="I140" s="13" t="n">
        <x:v>1</x:v>
      </x:c>
      <x:c r="J140" s="2" t="str">
        <x:v>通过</x:v>
      </x:c>
      <x:c r="K140" s="2" t="str">
        <x:v>empty</x:v>
      </x:c>
      <x:c r="L140" s="2" t="str">
        <x:v>not_run</x:v>
      </x:c>
      <x:c r="M140" s="11" t="n">
        <x:v>55</x:v>
      </x:c>
      <x:c r="N140" s="11" t="n">
        <x:v>577698</x:v>
      </x:c>
      <x:c r="O140" s="12" t="n">
        <x:v>178.623</x:v>
      </x:c>
      <x:c r="P140" s="9" t="str">
        <x:v>Runner collected no working-tree changes.</x:v>
      </x:c>
      <x:c r="Q140" s="9" t="str">
        <x:v>task_output-wsl/lite-baseline-001/instances/django__django-16816/attempt-0001/state.json</x:v>
      </x:c>
      <x:c r="R140" s="2" t="n">
        <x:v>1</x:v>
      </x:c>
    </x:row>
    <x:row r="141" ht="44" customHeight="1">
      <x:c r="A141" s="2" t="str">
        <x:v>django__django-16820</x:v>
      </x:c>
      <x:c r="B141" s="2" t="str">
        <x:v>django/django</x:v>
      </x:c>
      <x:c r="C141" s="2" t="str">
        <x:v>attempt-0001</x:v>
      </x:c>
      <x:c r="D141" s="2" t="str">
        <x:v>empty_patch</x:v>
      </x:c>
      <x:c r="E141" s="2" t="str">
        <x:v>finished</x:v>
      </x:c>
      <x:c r="F141" s="2" t="str">
        <x:v>limit</x:v>
      </x:c>
      <x:c r="G141" s="13" t="n">
        <x:v>1</x:v>
      </x:c>
      <x:c r="H141" s="13" t="n">
        <x:v>1</x:v>
      </x:c>
      <x:c r="I141" s="13" t="n">
        <x:v>1</x:v>
      </x:c>
      <x:c r="J141" s="2" t="str">
        <x:v>通过</x:v>
      </x:c>
      <x:c r="K141" s="2" t="str">
        <x:v>empty</x:v>
      </x:c>
      <x:c r="L141" s="2" t="str">
        <x:v>not_run</x:v>
      </x:c>
      <x:c r="M141" s="11" t="n">
        <x:v>62</x:v>
      </x:c>
      <x:c r="N141" s="11" t="n">
        <x:v>616642</x:v>
      </x:c>
      <x:c r="O141" s="12" t="n">
        <x:v>115.381</x:v>
      </x:c>
      <x:c r="P141" s="9" t="str">
        <x:v>Lead model-turn limit reached.</x:v>
      </x:c>
      <x:c r="Q141" s="9" t="str">
        <x:v>task_output-wsl/lite-baseline-001/instances/django__django-16820/attempt-0001/state.json</x:v>
      </x:c>
      <x:c r="R141" s="2" t="n">
        <x:v>1</x:v>
      </x:c>
    </x:row>
    <x:row r="142" ht="44" customHeight="1">
      <x:c r="A142" s="2" t="str">
        <x:v>django__django-16873</x:v>
      </x:c>
      <x:c r="B142" s="2" t="str">
        <x:v>django/django</x:v>
      </x:c>
      <x:c r="C142" s="2" t="str">
        <x:v>attempt-0001</x:v>
      </x:c>
      <x:c r="D142" s="2" t="str">
        <x:v>resolved</x:v>
      </x:c>
      <x:c r="E142" s="2" t="str">
        <x:v>finished</x:v>
      </x:c>
      <x:c r="F142" s="2" t="str">
        <x:v>completed</x:v>
      </x:c>
      <x:c r="G142" s="13" t="n">
        <x:v>1</x:v>
      </x:c>
      <x:c r="H142" s="13" t="n">
        <x:v>1</x:v>
      </x:c>
      <x:c r="I142" s="13" t="n">
        <x:v>1</x:v>
      </x:c>
      <x:c r="J142" s="2" t="str">
        <x:v>通过</x:v>
      </x:c>
      <x:c r="K142" s="2" t="str">
        <x:v>nonempty</x:v>
      </x:c>
      <x:c r="L142" s="2" t="str">
        <x:v>resolved</x:v>
      </x:c>
      <x:c r="M142" s="11" t="n">
        <x:v>8</x:v>
      </x:c>
      <x:c r="N142" s="11" t="n">
        <x:v>48825</x:v>
      </x:c>
      <x:c r="O142" s="12" t="n">
        <x:v>18.638</x:v>
      </x:c>
      <x:c r="P142" s="9" t="str"/>
      <x:c r="Q142" s="9" t="str">
        <x:v>task_output-wsl/lite-baseline-001/instances/django__django-16873/attempt-0001/state.json</x:v>
      </x:c>
      <x:c r="R142" s="2" t="n">
        <x:v>1</x:v>
      </x:c>
    </x:row>
    <x:row r="143" ht="44" customHeight="1">
      <x:c r="A143" s="2" t="str">
        <x:v>django__django-16910</x:v>
      </x:c>
      <x:c r="B143" s="2" t="str">
        <x:v>django/django</x:v>
      </x:c>
      <x:c r="C143" s="2" t="str">
        <x:v>attempt-0001</x:v>
      </x:c>
      <x:c r="D143" s="2" t="str">
        <x:v>empty_patch</x:v>
      </x:c>
      <x:c r="E143" s="2" t="str">
        <x:v>finished</x:v>
      </x:c>
      <x:c r="F143" s="2" t="str">
        <x:v>error</x:v>
      </x:c>
      <x:c r="G143" s="13" t="n">
        <x:v>1</x:v>
      </x:c>
      <x:c r="H143" s="13" t="n">
        <x:v>1</x:v>
      </x:c>
      <x:c r="I143" s="13" t="n">
        <x:v>1</x:v>
      </x:c>
      <x:c r="J143" s="2" t="str">
        <x:v>通过</x:v>
      </x:c>
      <x:c r="K143" s="2" t="str">
        <x:v>empty</x:v>
      </x:c>
      <x:c r="L143" s="2" t="str">
        <x:v>not_run</x:v>
      </x:c>
      <x:c r="M143" s="11" t="n">
        <x:v>6</x:v>
      </x:c>
      <x:c r="N143" s="11" t="n">
        <x:v>28186</x:v>
      </x:c>
      <x:c r="O143" s="12" t="n">
        <x:v>9.73</x:v>
      </x:c>
      <x:c r="P143" s="9" t="str">
        <x:v>peer closed connection without sending complete message body (incomplete chunked read)</x:v>
      </x:c>
      <x:c r="Q143" s="9" t="str">
        <x:v>task_output-wsl/lite-baseline-001/instances/django__django-16910/attempt-0001/state.json</x:v>
      </x:c>
      <x:c r="R143" s="2" t="n">
        <x:v>1</x:v>
      </x:c>
    </x:row>
    <x:row r="144" ht="44" customHeight="1">
      <x:c r="A144" s="2" t="str">
        <x:v>django__django-17051</x:v>
      </x:c>
      <x:c r="B144" s="2" t="str">
        <x:v>django/django</x:v>
      </x:c>
      <x:c r="C144" s="2" t="str">
        <x:v>attempt-0001</x:v>
      </x:c>
      <x:c r="D144" s="2" t="str">
        <x:v>resolved</x:v>
      </x:c>
      <x:c r="E144" s="2" t="str">
        <x:v>finished</x:v>
      </x:c>
      <x:c r="F144" s="2" t="str">
        <x:v>completed</x:v>
      </x:c>
      <x:c r="G144" s="13" t="n">
        <x:v>1</x:v>
      </x:c>
      <x:c r="H144" s="13" t="n">
        <x:v>1</x:v>
      </x:c>
      <x:c r="I144" s="13" t="n">
        <x:v>1</x:v>
      </x:c>
      <x:c r="J144" s="2" t="str">
        <x:v>通过</x:v>
      </x:c>
      <x:c r="K144" s="2" t="str">
        <x:v>nonempty</x:v>
      </x:c>
      <x:c r="L144" s="2" t="str">
        <x:v>resolved</x:v>
      </x:c>
      <x:c r="M144" s="11" t="n">
        <x:v>38</x:v>
      </x:c>
      <x:c r="N144" s="11" t="n">
        <x:v>400288</x:v>
      </x:c>
      <x:c r="O144" s="12" t="n">
        <x:v>69.336</x:v>
      </x:c>
      <x:c r="P144" s="9" t="str"/>
      <x:c r="Q144" s="9" t="str">
        <x:v>task_output-wsl/lite-baseline-001/instances/django__django-17051/attempt-0001/state.json</x:v>
      </x:c>
      <x:c r="R144" s="2" t="n">
        <x:v>1</x:v>
      </x:c>
    </x:row>
    <x:row r="145" ht="44" customHeight="1">
      <x:c r="A145" s="2" t="str">
        <x:v>django__django-17087</x:v>
      </x:c>
      <x:c r="B145" s="2" t="str">
        <x:v>django/django</x:v>
      </x:c>
      <x:c r="C145" s="2" t="str">
        <x:v>attempt-0001</x:v>
      </x:c>
      <x:c r="D145" s="2" t="str">
        <x:v>resolved</x:v>
      </x:c>
      <x:c r="E145" s="2" t="str">
        <x:v>finished</x:v>
      </x:c>
      <x:c r="F145" s="2" t="str">
        <x:v>completed</x:v>
      </x:c>
      <x:c r="G145" s="13" t="n">
        <x:v>1</x:v>
      </x:c>
      <x:c r="H145" s="13" t="n">
        <x:v>1</x:v>
      </x:c>
      <x:c r="I145" s="13" t="n">
        <x:v>1</x:v>
      </x:c>
      <x:c r="J145" s="2" t="str">
        <x:v>通过</x:v>
      </x:c>
      <x:c r="K145" s="2" t="str">
        <x:v>nonempty</x:v>
      </x:c>
      <x:c r="L145" s="2" t="str">
        <x:v>resolved</x:v>
      </x:c>
      <x:c r="M145" s="11" t="n">
        <x:v>35</x:v>
      </x:c>
      <x:c r="N145" s="11" t="n">
        <x:v>349298</x:v>
      </x:c>
      <x:c r="O145" s="12" t="n">
        <x:v>94.054</x:v>
      </x:c>
      <x:c r="P145" s="9" t="str"/>
      <x:c r="Q145" s="9" t="str">
        <x:v>task_output-wsl/lite-baseline-001/instances/django__django-17087/attempt-0001/state.json</x:v>
      </x:c>
      <x:c r="R145" s="2" t="n">
        <x:v>1</x:v>
      </x:c>
    </x:row>
    <x:row r="146" ht="44" customHeight="1">
      <x:c r="A146" s="2" t="str">
        <x:v>matplotlib__matplotlib-18869</x:v>
      </x:c>
      <x:c r="B146" s="2" t="str">
        <x:v>matplotlib/matplotlib</x:v>
      </x:c>
      <x:c r="C146" s="2" t="str">
        <x:v>attempt-0001</x:v>
      </x:c>
      <x:c r="D146" s="2" t="str">
        <x:v>error</x:v>
      </x:c>
      <x:c r="E146" s="2" t="str">
        <x:v>grading</x:v>
      </x:c>
      <x:c r="F146" s="2" t="str">
        <x:v>completed</x:v>
      </x:c>
      <x:c r="G146" s="13" t="n">
        <x:v>1</x:v>
      </x:c>
      <x:c r="H146" s="13" t="n">
        <x:v>1</x:v>
      </x:c>
      <x:c r="I146" s="13" t="n">
        <x:v>1</x:v>
      </x:c>
      <x:c r="J146" s="2" t="str">
        <x:v>通过</x:v>
      </x:c>
      <x:c r="K146" s="2" t="str">
        <x:v>nonempty</x:v>
      </x:c>
      <x:c r="L146" s="2" t="str">
        <x:v>error</x:v>
      </x:c>
      <x:c r="M146" s="11" t="n">
        <x:v>18</x:v>
      </x:c>
      <x:c r="N146" s="11" t="n">
        <x:v>172256</x:v>
      </x:c>
      <x:c r="O146" s="12" t="n">
        <x:v>69.968</x:v>
      </x:c>
      <x:c r="P146" s="9" t="str">
        <x:v>RuntimeError: Official evaluation produced no report; see grading/2e6f805fc3/harness.log.</x:v>
      </x:c>
      <x:c r="Q146" s="9" t="str">
        <x:v>task_output-wsl/lite-baseline-001/instances/matplotlib__matplotlib-18869/attempt-0001/state.json</x:v>
      </x:c>
      <x:c r="R146" s="2" t="n">
        <x:v>0</x:v>
      </x:c>
    </x:row>
    <x:row r="147" ht="44" customHeight="1">
      <x:c r="A147" s="2" t="str">
        <x:v>matplotlib__matplotlib-18869</x:v>
      </x:c>
      <x:c r="B147" s="2" t="str">
        <x:v>matplotlib/matplotlib</x:v>
      </x:c>
      <x:c r="C147" s="2" t="str">
        <x:v>attempt-0002</x:v>
      </x:c>
      <x:c r="D147" s="2" t="str">
        <x:v>resolved</x:v>
      </x:c>
      <x:c r="E147" s="2" t="str">
        <x:v>finished</x:v>
      </x:c>
      <x:c r="F147" s="2" t="str">
        <x:v>limit</x:v>
      </x:c>
      <x:c r="G147" s="13" t="n">
        <x:v>0</x:v>
      </x:c>
      <x:c r="H147" s="13" t="n">
        <x:v>0</x:v>
      </x:c>
      <x:c r="I147" s="13" t="n">
        <x:v>1</x:v>
      </x:c>
      <x:c r="J147" s="2" t="str">
        <x:v>通过</x:v>
      </x:c>
      <x:c r="K147" s="2" t="str">
        <x:v>nonempty</x:v>
      </x:c>
      <x:c r="L147" s="2" t="str">
        <x:v>resolved</x:v>
      </x:c>
      <x:c r="M147" s="11" t="n">
        <x:v>62</x:v>
      </x:c>
      <x:c r="N147" s="11" t="n">
        <x:v>689616</x:v>
      </x:c>
      <x:c r="O147" s="12" t="n">
        <x:v>196.329</x:v>
      </x:c>
      <x:c r="P147" s="9" t="str">
        <x:v>Lead model-turn limit reached.</x:v>
      </x:c>
      <x:c r="Q147" s="9" t="str">
        <x:v>task_output-wsl/lite-baseline-001/instances/matplotlib__matplotlib-18869/attempt-0002/state.json</x:v>
      </x:c>
      <x:c r="R147" s="2" t="n">
        <x:v>1</x:v>
      </x:c>
    </x:row>
    <x:row r="148" ht="44" customHeight="1">
      <x:c r="A148" s="2" t="str">
        <x:v>matplotlib__matplotlib-22711</x:v>
      </x:c>
      <x:c r="B148" s="2" t="str">
        <x:v>matplotlib/matplotlib</x:v>
      </x:c>
      <x:c r="C148" s="2" t="str">
        <x:v>attempt-0001</x:v>
      </x:c>
      <x:c r="D148" s="2" t="str">
        <x:v>unresolved</x:v>
      </x:c>
      <x:c r="E148" s="2" t="str">
        <x:v>finished</x:v>
      </x:c>
      <x:c r="F148" s="2" t="str">
        <x:v>completed</x:v>
      </x:c>
      <x:c r="G148" s="13" t="n">
        <x:v>1</x:v>
      </x:c>
      <x:c r="H148" s="13" t="n">
        <x:v>1</x:v>
      </x:c>
      <x:c r="I148" s="13" t="n">
        <x:v>1</x:v>
      </x:c>
      <x:c r="J148" s="2" t="str">
        <x:v>通过</x:v>
      </x:c>
      <x:c r="K148" s="2" t="str">
        <x:v>nonempty</x:v>
      </x:c>
      <x:c r="L148" s="2" t="str">
        <x:v>unresolved</x:v>
      </x:c>
      <x:c r="M148" s="11" t="n">
        <x:v>27</x:v>
      </x:c>
      <x:c r="N148" s="11" t="n">
        <x:v>294755</x:v>
      </x:c>
      <x:c r="O148" s="12" t="n">
        <x:v>115.758</x:v>
      </x:c>
      <x:c r="P148" s="9" t="str"/>
      <x:c r="Q148" s="9" t="str">
        <x:v>task_output-wsl/lite-baseline-001/instances/matplotlib__matplotlib-22711/attempt-0001/state.json</x:v>
      </x:c>
      <x:c r="R148" s="2" t="n">
        <x:v>1</x:v>
      </x:c>
    </x:row>
    <x:row r="149" ht="44" customHeight="1">
      <x:c r="A149" s="2" t="str">
        <x:v>matplotlib__matplotlib-22835</x:v>
      </x:c>
      <x:c r="B149" s="2" t="str">
        <x:v>matplotlib/matplotlib</x:v>
      </x:c>
      <x:c r="C149" s="2" t="str">
        <x:v>attempt-0001</x:v>
      </x:c>
      <x:c r="D149" s="2" t="str">
        <x:v>unresolved</x:v>
      </x:c>
      <x:c r="E149" s="2" t="str">
        <x:v>finished</x:v>
      </x:c>
      <x:c r="F149" s="2" t="str">
        <x:v>completed</x:v>
      </x:c>
      <x:c r="G149" s="13" t="n">
        <x:v>1</x:v>
      </x:c>
      <x:c r="H149" s="13" t="n">
        <x:v>1</x:v>
      </x:c>
      <x:c r="I149" s="13" t="n">
        <x:v>1</x:v>
      </x:c>
      <x:c r="J149" s="2" t="str">
        <x:v>通过</x:v>
      </x:c>
      <x:c r="K149" s="2" t="str">
        <x:v>nonempty</x:v>
      </x:c>
      <x:c r="L149" s="2" t="str">
        <x:v>unresolved</x:v>
      </x:c>
      <x:c r="M149" s="11" t="n">
        <x:v>51</x:v>
      </x:c>
      <x:c r="N149" s="11" t="n">
        <x:v>580874</x:v>
      </x:c>
      <x:c r="O149" s="12" t="n">
        <x:v>202.27</x:v>
      </x:c>
      <x:c r="P149" s="9" t="str"/>
      <x:c r="Q149" s="9" t="str">
        <x:v>task_output-wsl/lite-baseline-001/instances/matplotlib__matplotlib-22835/attempt-0001/state.json</x:v>
      </x:c>
      <x:c r="R149" s="2" t="n">
        <x:v>1</x:v>
      </x:c>
    </x:row>
    <x:row r="150" ht="44" customHeight="1">
      <x:c r="A150" s="2" t="str">
        <x:v>matplotlib__matplotlib-23299</x:v>
      </x:c>
      <x:c r="B150" s="2" t="str">
        <x:v>matplotlib/matplotlib</x:v>
      </x:c>
      <x:c r="C150" s="2" t="str">
        <x:v>attempt-0001</x:v>
      </x:c>
      <x:c r="D150" s="2" t="str">
        <x:v>unresolved</x:v>
      </x:c>
      <x:c r="E150" s="2" t="str">
        <x:v>finished</x:v>
      </x:c>
      <x:c r="F150" s="2" t="str">
        <x:v>limit</x:v>
      </x:c>
      <x:c r="G150" s="13" t="n">
        <x:v>1</x:v>
      </x:c>
      <x:c r="H150" s="13" t="n">
        <x:v>1</x:v>
      </x:c>
      <x:c r="I150" s="13" t="n">
        <x:v>1</x:v>
      </x:c>
      <x:c r="J150" s="2" t="str">
        <x:v>通过</x:v>
      </x:c>
      <x:c r="K150" s="2" t="str">
        <x:v>nonempty</x:v>
      </x:c>
      <x:c r="L150" s="2" t="str">
        <x:v>unresolved</x:v>
      </x:c>
      <x:c r="M150" s="11" t="n">
        <x:v>64</x:v>
      </x:c>
      <x:c r="N150" s="11" t="n">
        <x:v>700277</x:v>
      </x:c>
      <x:c r="O150" s="12" t="n">
        <x:v>200.131</x:v>
      </x:c>
      <x:c r="P150" s="9" t="str">
        <x:v>Lead model-turn limit reached.</x:v>
      </x:c>
      <x:c r="Q150" s="9" t="str">
        <x:v>task_output-wsl/lite-baseline-001/instances/matplotlib__matplotlib-23299/attempt-0001/state.json</x:v>
      </x:c>
      <x:c r="R150" s="2" t="n">
        <x:v>1</x:v>
      </x:c>
    </x:row>
    <x:row r="151" ht="44" customHeight="1">
      <x:c r="A151" s="2" t="str">
        <x:v>matplotlib__matplotlib-23314</x:v>
      </x:c>
      <x:c r="B151" s="2" t="str">
        <x:v>matplotlib/matplotlib</x:v>
      </x:c>
      <x:c r="C151" s="2" t="str">
        <x:v>attempt-0001</x:v>
      </x:c>
      <x:c r="D151" s="2" t="str">
        <x:v>resolved</x:v>
      </x:c>
      <x:c r="E151" s="2" t="str">
        <x:v>finished</x:v>
      </x:c>
      <x:c r="F151" s="2" t="str">
        <x:v>completed</x:v>
      </x:c>
      <x:c r="G151" s="13" t="n">
        <x:v>1</x:v>
      </x:c>
      <x:c r="H151" s="13" t="n">
        <x:v>1</x:v>
      </x:c>
      <x:c r="I151" s="13" t="n">
        <x:v>1</x:v>
      </x:c>
      <x:c r="J151" s="2" t="str">
        <x:v>通过</x:v>
      </x:c>
      <x:c r="K151" s="2" t="str">
        <x:v>nonempty</x:v>
      </x:c>
      <x:c r="L151" s="2" t="str">
        <x:v>resolved</x:v>
      </x:c>
      <x:c r="M151" s="11" t="n">
        <x:v>14</x:v>
      </x:c>
      <x:c r="N151" s="11" t="n">
        <x:v>91228</x:v>
      </x:c>
      <x:c r="O151" s="12" t="n">
        <x:v>55.68</x:v>
      </x:c>
      <x:c r="P151" s="9" t="str"/>
      <x:c r="Q151" s="9" t="str">
        <x:v>task_output-wsl/lite-baseline-001/instances/matplotlib__matplotlib-23314/attempt-0001/state.json</x:v>
      </x:c>
      <x:c r="R151" s="2" t="n">
        <x:v>1</x:v>
      </x:c>
    </x:row>
    <x:row r="152" ht="44" customHeight="1">
      <x:c r="A152" s="2" t="str">
        <x:v>matplotlib__matplotlib-23476</x:v>
      </x:c>
      <x:c r="B152" s="2" t="str">
        <x:v>matplotlib/matplotlib</x:v>
      </x:c>
      <x:c r="C152" s="2" t="str">
        <x:v>attempt-0001</x:v>
      </x:c>
      <x:c r="D152" s="2" t="str">
        <x:v>resolved</x:v>
      </x:c>
      <x:c r="E152" s="2" t="str">
        <x:v>finished</x:v>
      </x:c>
      <x:c r="F152" s="2" t="str">
        <x:v>completed</x:v>
      </x:c>
      <x:c r="G152" s="13" t="n">
        <x:v>1</x:v>
      </x:c>
      <x:c r="H152" s="13" t="n">
        <x:v>1</x:v>
      </x:c>
      <x:c r="I152" s="13" t="n">
        <x:v>1</x:v>
      </x:c>
      <x:c r="J152" s="2" t="str">
        <x:v>通过</x:v>
      </x:c>
      <x:c r="K152" s="2" t="str">
        <x:v>nonempty</x:v>
      </x:c>
      <x:c r="L152" s="2" t="str">
        <x:v>resolved</x:v>
      </x:c>
      <x:c r="M152" s="11" t="n">
        <x:v>19</x:v>
      </x:c>
      <x:c r="N152" s="11" t="n">
        <x:v>220668</x:v>
      </x:c>
      <x:c r="O152" s="12" t="n">
        <x:v>57.661</x:v>
      </x:c>
      <x:c r="P152" s="9" t="str"/>
      <x:c r="Q152" s="9" t="str">
        <x:v>task_output-wsl/lite-baseline-001/instances/matplotlib__matplotlib-23476/attempt-0001/state.json</x:v>
      </x:c>
      <x:c r="R152" s="2" t="n">
        <x:v>1</x:v>
      </x:c>
    </x:row>
    <x:row r="153" ht="44" customHeight="1">
      <x:c r="A153" s="2" t="str">
        <x:v>matplotlib__matplotlib-23562</x:v>
      </x:c>
      <x:c r="B153" s="2" t="str">
        <x:v>matplotlib/matplotlib</x:v>
      </x:c>
      <x:c r="C153" s="2" t="str">
        <x:v>attempt-0001</x:v>
      </x:c>
      <x:c r="D153" s="2" t="str">
        <x:v>resolved</x:v>
      </x:c>
      <x:c r="E153" s="2" t="str">
        <x:v>finished</x:v>
      </x:c>
      <x:c r="F153" s="2" t="str">
        <x:v>completed</x:v>
      </x:c>
      <x:c r="G153" s="13" t="n">
        <x:v>1</x:v>
      </x:c>
      <x:c r="H153" s="13" t="n">
        <x:v>1</x:v>
      </x:c>
      <x:c r="I153" s="13" t="n">
        <x:v>1</x:v>
      </x:c>
      <x:c r="J153" s="2" t="str">
        <x:v>通过</x:v>
      </x:c>
      <x:c r="K153" s="2" t="str">
        <x:v>nonempty</x:v>
      </x:c>
      <x:c r="L153" s="2" t="str">
        <x:v>resolved</x:v>
      </x:c>
      <x:c r="M153" s="11" t="n">
        <x:v>52</x:v>
      </x:c>
      <x:c r="N153" s="11" t="n">
        <x:v>574151</x:v>
      </x:c>
      <x:c r="O153" s="12" t="n">
        <x:v>177.815</x:v>
      </x:c>
      <x:c r="P153" s="9" t="str"/>
      <x:c r="Q153" s="9" t="str">
        <x:v>task_output-wsl/lite-baseline-001/instances/matplotlib__matplotlib-23562/attempt-0001/state.json</x:v>
      </x:c>
      <x:c r="R153" s="2" t="n">
        <x:v>1</x:v>
      </x:c>
    </x:row>
    <x:row r="154" ht="44" customHeight="1">
      <x:c r="A154" s="2" t="str">
        <x:v>matplotlib__matplotlib-23563</x:v>
      </x:c>
      <x:c r="B154" s="2" t="str">
        <x:v>matplotlib/matplotlib</x:v>
      </x:c>
      <x:c r="C154" s="2" t="str">
        <x:v>attempt-0001</x:v>
      </x:c>
      <x:c r="D154" s="2" t="str">
        <x:v>empty_patch</x:v>
      </x:c>
      <x:c r="E154" s="2" t="str">
        <x:v>finished</x:v>
      </x:c>
      <x:c r="F154" s="2" t="str">
        <x:v>completed</x:v>
      </x:c>
      <x:c r="G154" s="13" t="n">
        <x:v>1</x:v>
      </x:c>
      <x:c r="H154" s="13" t="n">
        <x:v>1</x:v>
      </x:c>
      <x:c r="I154" s="13" t="n">
        <x:v>1</x:v>
      </x:c>
      <x:c r="J154" s="2" t="str">
        <x:v>通过</x:v>
      </x:c>
      <x:c r="K154" s="2" t="str">
        <x:v>empty</x:v>
      </x:c>
      <x:c r="L154" s="2" t="str">
        <x:v>not_run</x:v>
      </x:c>
      <x:c r="M154" s="11" t="n">
        <x:v>30</x:v>
      </x:c>
      <x:c r="N154" s="11" t="n">
        <x:v>353238</x:v>
      </x:c>
      <x:c r="O154" s="12" t="n">
        <x:v>123.916</x:v>
      </x:c>
      <x:c r="P154" s="9" t="str">
        <x:v>Runner collected no working-tree changes.</x:v>
      </x:c>
      <x:c r="Q154" s="9" t="str">
        <x:v>task_output-wsl/lite-baseline-001/instances/matplotlib__matplotlib-23563/attempt-0001/state.json</x:v>
      </x:c>
      <x:c r="R154" s="2" t="n">
        <x:v>1</x:v>
      </x:c>
    </x:row>
    <x:row r="155" ht="44" customHeight="1">
      <x:c r="A155" s="2" t="str">
        <x:v>matplotlib__matplotlib-23913</x:v>
      </x:c>
      <x:c r="B155" s="2" t="str">
        <x:v>matplotlib/matplotlib</x:v>
      </x:c>
      <x:c r="C155" s="2" t="str">
        <x:v>attempt-0001</x:v>
      </x:c>
      <x:c r="D155" s="2" t="str">
        <x:v>error</x:v>
      </x:c>
      <x:c r="E155" s="2" t="str">
        <x:v>gold</x:v>
      </x:c>
      <x:c r="F155" s="2" t="str">
        <x:v>未启动</x:v>
      </x:c>
      <x:c r="G155" s="13" t="n">
        <x:v>1</x:v>
      </x:c>
      <x:c r="H155" s="13" t="n">
        <x:v>0</x:v>
      </x:c>
      <x:c r="I155" s="13" t="n">
        <x:v>0</x:v>
      </x:c>
      <x:c r="J155" s="2" t="str">
        <x:v>未通过</x:v>
      </x:c>
      <x:c r="K155" s="2" t="str">
        <x:v>not_collected</x:v>
      </x:c>
      <x:c r="L155" s="2" t="str">
        <x:v>not_run</x:v>
      </x:c>
      <x:c r="M155" s="11" t="n">
        <x:v>0</x:v>
      </x:c>
      <x:c r="N155" s="11" t="n">
        <x:v>0</x:v>
      </x:c>
      <x:c r="O155" s="12"/>
      <x:c r="P155" s="9" t="str">
        <x:v>RuntimeError: Reference patch failed; Agent was not started. Inspect the gold report.</x:v>
      </x:c>
      <x:c r="Q155" s="9" t="str">
        <x:v>task_output-wsl/lite-baseline-001/instances/matplotlib__matplotlib-23913/attempt-0001/state.json</x:v>
      </x:c>
      <x:c r="R155" s="2" t="n">
        <x:v>0</x:v>
      </x:c>
    </x:row>
    <x:row r="156" ht="44" customHeight="1">
      <x:c r="A156" s="2" t="str">
        <x:v>matplotlib__matplotlib-23913</x:v>
      </x:c>
      <x:c r="B156" s="2" t="str">
        <x:v>matplotlib/matplotlib</x:v>
      </x:c>
      <x:c r="C156" s="2" t="str">
        <x:v>attempt-0002</x:v>
      </x:c>
      <x:c r="D156" s="2" t="str">
        <x:v>error</x:v>
      </x:c>
      <x:c r="E156" s="2" t="str">
        <x:v>gold</x:v>
      </x:c>
      <x:c r="F156" s="2" t="str">
        <x:v>未启动</x:v>
      </x:c>
      <x:c r="G156" s="13" t="n">
        <x:v>0</x:v>
      </x:c>
      <x:c r="H156" s="13" t="n">
        <x:v>0</x:v>
      </x:c>
      <x:c r="I156" s="13" t="n">
        <x:v>0</x:v>
      </x:c>
      <x:c r="J156" s="2" t="str">
        <x:v>未通过</x:v>
      </x:c>
      <x:c r="K156" s="2" t="str">
        <x:v>not_collected</x:v>
      </x:c>
      <x:c r="L156" s="2" t="str">
        <x:v>not_run</x:v>
      </x:c>
      <x:c r="M156" s="11" t="n">
        <x:v>0</x:v>
      </x:c>
      <x:c r="N156" s="11" t="n">
        <x:v>0</x:v>
      </x:c>
      <x:c r="O156" s="12"/>
      <x:c r="P156" s="9" t="str">
        <x:v>RuntimeError: Reference patch failed; Agent was not started. Inspect the gold report.</x:v>
      </x:c>
      <x:c r="Q156" s="9" t="str">
        <x:v>task_output-wsl/lite-baseline-001/instances/matplotlib__matplotlib-23913/attempt-0002/state.json</x:v>
      </x:c>
      <x:c r="R156" s="2" t="n">
        <x:v>1</x:v>
      </x:c>
    </x:row>
    <x:row r="157" ht="44" customHeight="1">
      <x:c r="A157" s="2" t="str">
        <x:v>matplotlib__matplotlib-23964</x:v>
      </x:c>
      <x:c r="B157" s="2" t="str">
        <x:v>matplotlib/matplotlib</x:v>
      </x:c>
      <x:c r="C157" s="2" t="str">
        <x:v>attempt-0001</x:v>
      </x:c>
      <x:c r="D157" s="2" t="str">
        <x:v>resolved</x:v>
      </x:c>
      <x:c r="E157" s="2" t="str">
        <x:v>finished</x:v>
      </x:c>
      <x:c r="F157" s="2" t="str">
        <x:v>completed</x:v>
      </x:c>
      <x:c r="G157" s="13" t="n">
        <x:v>1</x:v>
      </x:c>
      <x:c r="H157" s="13" t="n">
        <x:v>1</x:v>
      </x:c>
      <x:c r="I157" s="13" t="n">
        <x:v>1</x:v>
      </x:c>
      <x:c r="J157" s="2" t="str">
        <x:v>通过</x:v>
      </x:c>
      <x:c r="K157" s="2" t="str">
        <x:v>nonempty</x:v>
      </x:c>
      <x:c r="L157" s="2" t="str">
        <x:v>resolved</x:v>
      </x:c>
      <x:c r="M157" s="11" t="n">
        <x:v>8</x:v>
      </x:c>
      <x:c r="N157" s="11" t="n">
        <x:v>54988</x:v>
      </x:c>
      <x:c r="O157" s="12" t="n">
        <x:v>26.822</x:v>
      </x:c>
      <x:c r="P157" s="9" t="str"/>
      <x:c r="Q157" s="9" t="str">
        <x:v>task_output-wsl/lite-baseline-001/instances/matplotlib__matplotlib-23964/attempt-0001/state.json</x:v>
      </x:c>
      <x:c r="R157" s="2" t="n">
        <x:v>1</x:v>
      </x:c>
    </x:row>
    <x:row r="158" ht="44" customHeight="1">
      <x:c r="A158" s="2" t="str">
        <x:v>matplotlib__matplotlib-23987</x:v>
      </x:c>
      <x:c r="B158" s="2" t="str">
        <x:v>matplotlib/matplotlib</x:v>
      </x:c>
      <x:c r="C158" s="2" t="str">
        <x:v>attempt-0001</x:v>
      </x:c>
      <x:c r="D158" s="2" t="str">
        <x:v>resolved</x:v>
      </x:c>
      <x:c r="E158" s="2" t="str">
        <x:v>finished</x:v>
      </x:c>
      <x:c r="F158" s="2" t="str">
        <x:v>completed</x:v>
      </x:c>
      <x:c r="G158" s="13" t="n">
        <x:v>1</x:v>
      </x:c>
      <x:c r="H158" s="13" t="n">
        <x:v>1</x:v>
      </x:c>
      <x:c r="I158" s="13" t="n">
        <x:v>1</x:v>
      </x:c>
      <x:c r="J158" s="2" t="str">
        <x:v>通过</x:v>
      </x:c>
      <x:c r="K158" s="2" t="str">
        <x:v>nonempty</x:v>
      </x:c>
      <x:c r="L158" s="2" t="str">
        <x:v>resolved</x:v>
      </x:c>
      <x:c r="M158" s="11" t="n">
        <x:v>13</x:v>
      </x:c>
      <x:c r="N158" s="11" t="n">
        <x:v>120803</x:v>
      </x:c>
      <x:c r="O158" s="12" t="n">
        <x:v>49.11</x:v>
      </x:c>
      <x:c r="P158" s="9" t="str"/>
      <x:c r="Q158" s="9" t="str">
        <x:v>task_output-wsl/lite-baseline-001/instances/matplotlib__matplotlib-23987/attempt-0001/state.json</x:v>
      </x:c>
      <x:c r="R158" s="2" t="n">
        <x:v>1</x:v>
      </x:c>
    </x:row>
    <x:row r="159" ht="44" customHeight="1">
      <x:c r="A159" s="2" t="str">
        <x:v>matplotlib__matplotlib-24149</x:v>
      </x:c>
      <x:c r="B159" s="2" t="str">
        <x:v>matplotlib/matplotlib</x:v>
      </x:c>
      <x:c r="C159" s="2" t="str">
        <x:v>attempt-0001</x:v>
      </x:c>
      <x:c r="D159" s="2" t="str">
        <x:v>resolved</x:v>
      </x:c>
      <x:c r="E159" s="2" t="str">
        <x:v>finished</x:v>
      </x:c>
      <x:c r="F159" s="2" t="str">
        <x:v>completed</x:v>
      </x:c>
      <x:c r="G159" s="13" t="n">
        <x:v>1</x:v>
      </x:c>
      <x:c r="H159" s="13" t="n">
        <x:v>1</x:v>
      </x:c>
      <x:c r="I159" s="13" t="n">
        <x:v>1</x:v>
      </x:c>
      <x:c r="J159" s="2" t="str">
        <x:v>通过</x:v>
      </x:c>
      <x:c r="K159" s="2" t="str">
        <x:v>nonempty</x:v>
      </x:c>
      <x:c r="L159" s="2" t="str">
        <x:v>resolved</x:v>
      </x:c>
      <x:c r="M159" s="11" t="n">
        <x:v>13</x:v>
      </x:c>
      <x:c r="N159" s="11" t="n">
        <x:v>131740</x:v>
      </x:c>
      <x:c r="O159" s="12" t="n">
        <x:v>82.392</x:v>
      </x:c>
      <x:c r="P159" s="9" t="str"/>
      <x:c r="Q159" s="9" t="str">
        <x:v>task_output-wsl/lite-baseline-001/instances/matplotlib__matplotlib-24149/attempt-0001/state.json</x:v>
      </x:c>
      <x:c r="R159" s="2" t="n">
        <x:v>1</x:v>
      </x:c>
    </x:row>
    <x:row r="160" ht="44" customHeight="1">
      <x:c r="A160" s="2" t="str">
        <x:v>matplotlib__matplotlib-24265</x:v>
      </x:c>
      <x:c r="B160" s="2" t="str">
        <x:v>matplotlib/matplotlib</x:v>
      </x:c>
      <x:c r="C160" s="2" t="str">
        <x:v>attempt-0001</x:v>
      </x:c>
      <x:c r="D160" s="2" t="str">
        <x:v>resolved</x:v>
      </x:c>
      <x:c r="E160" s="2" t="str">
        <x:v>finished</x:v>
      </x:c>
      <x:c r="F160" s="2" t="str">
        <x:v>limit</x:v>
      </x:c>
      <x:c r="G160" s="13" t="n">
        <x:v>1</x:v>
      </x:c>
      <x:c r="H160" s="13" t="n">
        <x:v>1</x:v>
      </x:c>
      <x:c r="I160" s="13" t="n">
        <x:v>1</x:v>
      </x:c>
      <x:c r="J160" s="2" t="str">
        <x:v>通过</x:v>
      </x:c>
      <x:c r="K160" s="2" t="str">
        <x:v>nonempty</x:v>
      </x:c>
      <x:c r="L160" s="2" t="str">
        <x:v>resolved</x:v>
      </x:c>
      <x:c r="M160" s="11" t="n">
        <x:v>64</x:v>
      </x:c>
      <x:c r="N160" s="11" t="n">
        <x:v>721620</x:v>
      </x:c>
      <x:c r="O160" s="12" t="n">
        <x:v>198.956</x:v>
      </x:c>
      <x:c r="P160" s="9" t="str">
        <x:v>Lead model-turn limit reached.</x:v>
      </x:c>
      <x:c r="Q160" s="9" t="str">
        <x:v>task_output-wsl/lite-baseline-001/instances/matplotlib__matplotlib-24265/attempt-0001/state.json</x:v>
      </x:c>
      <x:c r="R160" s="2" t="n">
        <x:v>1</x:v>
      </x:c>
    </x:row>
    <x:row r="161" ht="44" customHeight="1">
      <x:c r="A161" s="2" t="str">
        <x:v>matplotlib__matplotlib-24334</x:v>
      </x:c>
      <x:c r="B161" s="2" t="str">
        <x:v>matplotlib/matplotlib</x:v>
      </x:c>
      <x:c r="C161" s="2" t="str">
        <x:v>attempt-0001</x:v>
      </x:c>
      <x:c r="D161" s="2" t="str">
        <x:v>resolved</x:v>
      </x:c>
      <x:c r="E161" s="2" t="str">
        <x:v>finished</x:v>
      </x:c>
      <x:c r="F161" s="2" t="str">
        <x:v>completed</x:v>
      </x:c>
      <x:c r="G161" s="13" t="n">
        <x:v>1</x:v>
      </x:c>
      <x:c r="H161" s="13" t="n">
        <x:v>1</x:v>
      </x:c>
      <x:c r="I161" s="13" t="n">
        <x:v>1</x:v>
      </x:c>
      <x:c r="J161" s="2" t="str">
        <x:v>通过</x:v>
      </x:c>
      <x:c r="K161" s="2" t="str">
        <x:v>nonempty</x:v>
      </x:c>
      <x:c r="L161" s="2" t="str">
        <x:v>resolved</x:v>
      </x:c>
      <x:c r="M161" s="11" t="n">
        <x:v>36</x:v>
      </x:c>
      <x:c r="N161" s="11" t="n">
        <x:v>334459</x:v>
      </x:c>
      <x:c r="O161" s="12" t="n">
        <x:v>162.69</x:v>
      </x:c>
      <x:c r="P161" s="9" t="str"/>
      <x:c r="Q161" s="9" t="str">
        <x:v>task_output-wsl/lite-baseline-001/instances/matplotlib__matplotlib-24334/attempt-0001/state.json</x:v>
      </x:c>
      <x:c r="R161" s="2" t="n">
        <x:v>1</x:v>
      </x:c>
    </x:row>
    <x:row r="162" ht="44" customHeight="1">
      <x:c r="A162" s="2" t="str">
        <x:v>matplotlib__matplotlib-24970</x:v>
      </x:c>
      <x:c r="B162" s="2" t="str">
        <x:v>matplotlib/matplotlib</x:v>
      </x:c>
      <x:c r="C162" s="2" t="str">
        <x:v>attempt-0001</x:v>
      </x:c>
      <x:c r="D162" s="2" t="str">
        <x:v>resolved</x:v>
      </x:c>
      <x:c r="E162" s="2" t="str">
        <x:v>finished</x:v>
      </x:c>
      <x:c r="F162" s="2" t="str">
        <x:v>completed</x:v>
      </x:c>
      <x:c r="G162" s="13" t="n">
        <x:v>1</x:v>
      </x:c>
      <x:c r="H162" s="13" t="n">
        <x:v>1</x:v>
      </x:c>
      <x:c r="I162" s="13" t="n">
        <x:v>1</x:v>
      </x:c>
      <x:c r="J162" s="2" t="str">
        <x:v>通过</x:v>
      </x:c>
      <x:c r="K162" s="2" t="str">
        <x:v>nonempty</x:v>
      </x:c>
      <x:c r="L162" s="2" t="str">
        <x:v>resolved</x:v>
      </x:c>
      <x:c r="M162" s="11" t="n">
        <x:v>16</x:v>
      </x:c>
      <x:c r="N162" s="11" t="n">
        <x:v>168877</x:v>
      </x:c>
      <x:c r="O162" s="12" t="n">
        <x:v>73.445</x:v>
      </x:c>
      <x:c r="P162" s="9" t="str"/>
      <x:c r="Q162" s="9" t="str">
        <x:v>task_output-wsl/lite-baseline-001/instances/matplotlib__matplotlib-24970/attempt-0001/state.json</x:v>
      </x:c>
      <x:c r="R162" s="2" t="n">
        <x:v>1</x:v>
      </x:c>
    </x:row>
    <x:row r="163" ht="44" customHeight="1">
      <x:c r="A163" s="2" t="str">
        <x:v>matplotlib__matplotlib-25079</x:v>
      </x:c>
      <x:c r="B163" s="2" t="str">
        <x:v>matplotlib/matplotlib</x:v>
      </x:c>
      <x:c r="C163" s="2" t="str">
        <x:v>attempt-0001</x:v>
      </x:c>
      <x:c r="D163" s="2" t="str">
        <x:v>resolved</x:v>
      </x:c>
      <x:c r="E163" s="2" t="str">
        <x:v>finished</x:v>
      </x:c>
      <x:c r="F163" s="2" t="str">
        <x:v>error</x:v>
      </x:c>
      <x:c r="G163" s="13" t="n">
        <x:v>1</x:v>
      </x:c>
      <x:c r="H163" s="13" t="n">
        <x:v>1</x:v>
      </x:c>
      <x:c r="I163" s="13" t="n">
        <x:v>1</x:v>
      </x:c>
      <x:c r="J163" s="2" t="str">
        <x:v>通过</x:v>
      </x:c>
      <x:c r="K163" s="2" t="str">
        <x:v>nonempty</x:v>
      </x:c>
      <x:c r="L163" s="2" t="str">
        <x:v>resolved</x:v>
      </x:c>
      <x:c r="M163" s="11" t="n">
        <x:v>50</x:v>
      </x:c>
      <x:c r="N163" s="11" t="n">
        <x:v>590550</x:v>
      </x:c>
      <x:c r="O163" s="12" t="n">
        <x:v>278.868</x:v>
      </x:c>
      <x:c r="P163" s="9" t="str">
        <x:v>peer closed connection without sending complete message body (incomplete chunked read)</x:v>
      </x:c>
      <x:c r="Q163" s="9" t="str">
        <x:v>task_output-wsl/lite-baseline-001/instances/matplotlib__matplotlib-25079/attempt-0001/state.json</x:v>
      </x:c>
      <x:c r="R163" s="2" t="n">
        <x:v>1</x:v>
      </x:c>
    </x:row>
    <x:row r="164" ht="44" customHeight="1">
      <x:c r="A164" s="2" t="str">
        <x:v>matplotlib__matplotlib-25311</x:v>
      </x:c>
      <x:c r="B164" s="2" t="str">
        <x:v>matplotlib/matplotlib</x:v>
      </x:c>
      <x:c r="C164" s="2" t="str">
        <x:v>attempt-0001</x:v>
      </x:c>
      <x:c r="D164" s="2" t="str">
        <x:v>resolved</x:v>
      </x:c>
      <x:c r="E164" s="2" t="str">
        <x:v>finished</x:v>
      </x:c>
      <x:c r="F164" s="2" t="str">
        <x:v>completed</x:v>
      </x:c>
      <x:c r="G164" s="13" t="n">
        <x:v>1</x:v>
      </x:c>
      <x:c r="H164" s="13" t="n">
        <x:v>1</x:v>
      </x:c>
      <x:c r="I164" s="13" t="n">
        <x:v>1</x:v>
      </x:c>
      <x:c r="J164" s="2" t="str">
        <x:v>通过</x:v>
      </x:c>
      <x:c r="K164" s="2" t="str">
        <x:v>nonempty</x:v>
      </x:c>
      <x:c r="L164" s="2" t="str">
        <x:v>resolved</x:v>
      </x:c>
      <x:c r="M164" s="11" t="n">
        <x:v>19</x:v>
      </x:c>
      <x:c r="N164" s="11" t="n">
        <x:v>190757</x:v>
      </x:c>
      <x:c r="O164" s="12" t="n">
        <x:v>67.17</x:v>
      </x:c>
      <x:c r="P164" s="9" t="str"/>
      <x:c r="Q164" s="9" t="str">
        <x:v>task_output-wsl/lite-baseline-001/instances/matplotlib__matplotlib-25311/attempt-0001/state.json</x:v>
      </x:c>
      <x:c r="R164" s="2" t="n">
        <x:v>1</x:v>
      </x:c>
    </x:row>
    <x:row r="165" ht="44" customHeight="1">
      <x:c r="A165" s="2" t="str">
        <x:v>matplotlib__matplotlib-25332</x:v>
      </x:c>
      <x:c r="B165" s="2" t="str">
        <x:v>matplotlib/matplotlib</x:v>
      </x:c>
      <x:c r="C165" s="2" t="str">
        <x:v>attempt-0001</x:v>
      </x:c>
      <x:c r="D165" s="2" t="str">
        <x:v>empty_patch</x:v>
      </x:c>
      <x:c r="E165" s="2" t="str">
        <x:v>finished</x:v>
      </x:c>
      <x:c r="F165" s="2" t="str">
        <x:v>error</x:v>
      </x:c>
      <x:c r="G165" s="13" t="n">
        <x:v>1</x:v>
      </x:c>
      <x:c r="H165" s="13" t="n">
        <x:v>1</x:v>
      </x:c>
      <x:c r="I165" s="13" t="n">
        <x:v>1</x:v>
      </x:c>
      <x:c r="J165" s="2" t="str">
        <x:v>通过</x:v>
      </x:c>
      <x:c r="K165" s="2" t="str">
        <x:v>empty</x:v>
      </x:c>
      <x:c r="L165" s="2" t="str">
        <x:v>not_run</x:v>
      </x:c>
      <x:c r="M165" s="11" t="n">
        <x:v>6</x:v>
      </x:c>
      <x:c r="N165" s="11" t="n">
        <x:v>26363</x:v>
      </x:c>
      <x:c r="O165" s="12" t="n">
        <x:v>51.069</x:v>
      </x:c>
      <x:c r="P165" s="9" t="str">
        <x:v>peer closed connection without sending complete message body (incomplete chunked read)</x:v>
      </x:c>
      <x:c r="Q165" s="9" t="str">
        <x:v>task_output-wsl/lite-baseline-001/instances/matplotlib__matplotlib-25332/attempt-0001/state.json</x:v>
      </x:c>
      <x:c r="R165" s="2" t="n">
        <x:v>1</x:v>
      </x:c>
    </x:row>
    <x:row r="166" ht="44" customHeight="1">
      <x:c r="A166" s="2" t="str">
        <x:v>matplotlib__matplotlib-25433</x:v>
      </x:c>
      <x:c r="B166" s="2" t="str">
        <x:v>matplotlib/matplotlib</x:v>
      </x:c>
      <x:c r="C166" s="2" t="str">
        <x:v>attempt-0001</x:v>
      </x:c>
      <x:c r="D166" s="2" t="str">
        <x:v>resolved</x:v>
      </x:c>
      <x:c r="E166" s="2" t="str">
        <x:v>finished</x:v>
      </x:c>
      <x:c r="F166" s="2" t="str">
        <x:v>limit</x:v>
      </x:c>
      <x:c r="G166" s="13" t="n">
        <x:v>1</x:v>
      </x:c>
      <x:c r="H166" s="13" t="n">
        <x:v>1</x:v>
      </x:c>
      <x:c r="I166" s="13" t="n">
        <x:v>1</x:v>
      </x:c>
      <x:c r="J166" s="2" t="str">
        <x:v>通过</x:v>
      </x:c>
      <x:c r="K166" s="2" t="str">
        <x:v>nonempty</x:v>
      </x:c>
      <x:c r="L166" s="2" t="str">
        <x:v>resolved</x:v>
      </x:c>
      <x:c r="M166" s="11" t="n">
        <x:v>61</x:v>
      </x:c>
      <x:c r="N166" s="11" t="n">
        <x:v>760559</x:v>
      </x:c>
      <x:c r="O166" s="12" t="n">
        <x:v>256.642</x:v>
      </x:c>
      <x:c r="P166" s="9" t="str">
        <x:v>Lead model-turn limit reached.</x:v>
      </x:c>
      <x:c r="Q166" s="9" t="str">
        <x:v>task_output-wsl/lite-baseline-001/instances/matplotlib__matplotlib-25433/attempt-0001/state.json</x:v>
      </x:c>
      <x:c r="R166" s="2" t="n">
        <x:v>1</x:v>
      </x:c>
    </x:row>
    <x:row r="167" ht="44" customHeight="1">
      <x:c r="A167" s="2" t="str">
        <x:v>matplotlib__matplotlib-25442</x:v>
      </x:c>
      <x:c r="B167" s="2" t="str">
        <x:v>matplotlib/matplotlib</x:v>
      </x:c>
      <x:c r="C167" s="2" t="str">
        <x:v>attempt-0001</x:v>
      </x:c>
      <x:c r="D167" s="2" t="str">
        <x:v>resolved</x:v>
      </x:c>
      <x:c r="E167" s="2" t="str">
        <x:v>finished</x:v>
      </x:c>
      <x:c r="F167" s="2" t="str">
        <x:v>completed</x:v>
      </x:c>
      <x:c r="G167" s="13" t="n">
        <x:v>1</x:v>
      </x:c>
      <x:c r="H167" s="13" t="n">
        <x:v>1</x:v>
      </x:c>
      <x:c r="I167" s="13" t="n">
        <x:v>1</x:v>
      </x:c>
      <x:c r="J167" s="2" t="str">
        <x:v>通过</x:v>
      </x:c>
      <x:c r="K167" s="2" t="str">
        <x:v>nonempty</x:v>
      </x:c>
      <x:c r="L167" s="2" t="str">
        <x:v>resolved</x:v>
      </x:c>
      <x:c r="M167" s="11" t="n">
        <x:v>52</x:v>
      </x:c>
      <x:c r="N167" s="11" t="n">
        <x:v>572631</x:v>
      </x:c>
      <x:c r="O167" s="12" t="n">
        <x:v>182.721</x:v>
      </x:c>
      <x:c r="P167" s="9" t="str"/>
      <x:c r="Q167" s="9" t="str">
        <x:v>task_output-wsl/lite-baseline-001/instances/matplotlib__matplotlib-25442/attempt-0001/state.json</x:v>
      </x:c>
      <x:c r="R167" s="2" t="n">
        <x:v>1</x:v>
      </x:c>
    </x:row>
    <x:row r="168" ht="44" customHeight="1">
      <x:c r="A168" s="2" t="str">
        <x:v>matplotlib__matplotlib-25498</x:v>
      </x:c>
      <x:c r="B168" s="2" t="str">
        <x:v>matplotlib/matplotlib</x:v>
      </x:c>
      <x:c r="C168" s="2" t="str">
        <x:v>attempt-0001</x:v>
      </x:c>
      <x:c r="D168" s="2" t="str">
        <x:v>resolved</x:v>
      </x:c>
      <x:c r="E168" s="2" t="str">
        <x:v>finished</x:v>
      </x:c>
      <x:c r="F168" s="2" t="str">
        <x:v>completed</x:v>
      </x:c>
      <x:c r="G168" s="13" t="n">
        <x:v>1</x:v>
      </x:c>
      <x:c r="H168" s="13" t="n">
        <x:v>1</x:v>
      </x:c>
      <x:c r="I168" s="13" t="n">
        <x:v>1</x:v>
      </x:c>
      <x:c r="J168" s="2" t="str">
        <x:v>通过</x:v>
      </x:c>
      <x:c r="K168" s="2" t="str">
        <x:v>nonempty</x:v>
      </x:c>
      <x:c r="L168" s="2" t="str">
        <x:v>resolved</x:v>
      </x:c>
      <x:c r="M168" s="11" t="n">
        <x:v>28</x:v>
      </x:c>
      <x:c r="N168" s="11" t="n">
        <x:v>313280</x:v>
      </x:c>
      <x:c r="O168" s="12" t="n">
        <x:v>112.714</x:v>
      </x:c>
      <x:c r="P168" s="9" t="str"/>
      <x:c r="Q168" s="9" t="str">
        <x:v>task_output-wsl/lite-baseline-001/instances/matplotlib__matplotlib-25498/attempt-0001/state.json</x:v>
      </x:c>
      <x:c r="R168" s="2" t="n">
        <x:v>1</x:v>
      </x:c>
    </x:row>
    <x:row r="169" ht="44" customHeight="1">
      <x:c r="A169" s="2" t="str">
        <x:v>matplotlib__matplotlib-26011</x:v>
      </x:c>
      <x:c r="B169" s="2" t="str">
        <x:v>matplotlib/matplotlib</x:v>
      </x:c>
      <x:c r="C169" s="2" t="str">
        <x:v>attempt-0001</x:v>
      </x:c>
      <x:c r="D169" s="2" t="str">
        <x:v>resolved</x:v>
      </x:c>
      <x:c r="E169" s="2" t="str">
        <x:v>finished</x:v>
      </x:c>
      <x:c r="F169" s="2" t="str">
        <x:v>completed</x:v>
      </x:c>
      <x:c r="G169" s="13" t="n">
        <x:v>1</x:v>
      </x:c>
      <x:c r="H169" s="13" t="n">
        <x:v>1</x:v>
      </x:c>
      <x:c r="I169" s="13" t="n">
        <x:v>1</x:v>
      </x:c>
      <x:c r="J169" s="2" t="str">
        <x:v>通过</x:v>
      </x:c>
      <x:c r="K169" s="2" t="str">
        <x:v>nonempty</x:v>
      </x:c>
      <x:c r="L169" s="2" t="str">
        <x:v>resolved</x:v>
      </x:c>
      <x:c r="M169" s="11" t="n">
        <x:v>42</x:v>
      </x:c>
      <x:c r="N169" s="11" t="n">
        <x:v>457750</x:v>
      </x:c>
      <x:c r="O169" s="12" t="n">
        <x:v>171.175</x:v>
      </x:c>
      <x:c r="P169" s="9" t="str"/>
      <x:c r="Q169" s="9" t="str">
        <x:v>task_output-wsl/lite-baseline-001/instances/matplotlib__matplotlib-26011/attempt-0001/state.json</x:v>
      </x:c>
      <x:c r="R169" s="2" t="n">
        <x:v>1</x:v>
      </x:c>
    </x:row>
    <x:row r="170" ht="44" customHeight="1">
      <x:c r="A170" s="2" t="str">
        <x:v>matplotlib__matplotlib-26020</x:v>
      </x:c>
      <x:c r="B170" s="2" t="str">
        <x:v>matplotlib/matplotlib</x:v>
      </x:c>
      <x:c r="C170" s="2" t="str">
        <x:v>attempt-0001</x:v>
      </x:c>
      <x:c r="D170" s="2" t="str">
        <x:v>resolved</x:v>
      </x:c>
      <x:c r="E170" s="2" t="str">
        <x:v>finished</x:v>
      </x:c>
      <x:c r="F170" s="2" t="str">
        <x:v>completed</x:v>
      </x:c>
      <x:c r="G170" s="13" t="n">
        <x:v>1</x:v>
      </x:c>
      <x:c r="H170" s="13" t="n">
        <x:v>1</x:v>
      </x:c>
      <x:c r="I170" s="13" t="n">
        <x:v>1</x:v>
      </x:c>
      <x:c r="J170" s="2" t="str">
        <x:v>通过</x:v>
      </x:c>
      <x:c r="K170" s="2" t="str">
        <x:v>nonempty</x:v>
      </x:c>
      <x:c r="L170" s="2" t="str">
        <x:v>resolved</x:v>
      </x:c>
      <x:c r="M170" s="11" t="n">
        <x:v>54</x:v>
      </x:c>
      <x:c r="N170" s="11" t="n">
        <x:v>707073</x:v>
      </x:c>
      <x:c r="O170" s="12" t="n">
        <x:v>168.983</x:v>
      </x:c>
      <x:c r="P170" s="9" t="str"/>
      <x:c r="Q170" s="9" t="str">
        <x:v>task_output-wsl/lite-baseline-001/instances/matplotlib__matplotlib-26020/attempt-0001/state.json</x:v>
      </x:c>
      <x:c r="R170" s="2" t="n">
        <x:v>1</x:v>
      </x:c>
    </x:row>
    <x:row r="171" ht="44" customHeight="1">
      <x:c r="A171" s="2" t="str">
        <x:v>mwaskom__seaborn-2848</x:v>
      </x:c>
      <x:c r="B171" s="2" t="str">
        <x:v>mwaskom/seaborn</x:v>
      </x:c>
      <x:c r="C171" s="2" t="str">
        <x:v>attempt-0001</x:v>
      </x:c>
      <x:c r="D171" s="2" t="str">
        <x:v>empty_patch</x:v>
      </x:c>
      <x:c r="E171" s="2" t="str">
        <x:v>finished</x:v>
      </x:c>
      <x:c r="F171" s="2" t="str">
        <x:v>limit</x:v>
      </x:c>
      <x:c r="G171" s="13" t="n">
        <x:v>1</x:v>
      </x:c>
      <x:c r="H171" s="13" t="n">
        <x:v>1</x:v>
      </x:c>
      <x:c r="I171" s="13" t="n">
        <x:v>1</x:v>
      </x:c>
      <x:c r="J171" s="2" t="str">
        <x:v>通过</x:v>
      </x:c>
      <x:c r="K171" s="2" t="str">
        <x:v>empty</x:v>
      </x:c>
      <x:c r="L171" s="2" t="str">
        <x:v>not_run</x:v>
      </x:c>
      <x:c r="M171" s="11" t="n">
        <x:v>63</x:v>
      </x:c>
      <x:c r="N171" s="11" t="n">
        <x:v>698096</x:v>
      </x:c>
      <x:c r="O171" s="12" t="n">
        <x:v>159.422</x:v>
      </x:c>
      <x:c r="P171" s="9" t="str">
        <x:v>Lead model-turn limit reached.</x:v>
      </x:c>
      <x:c r="Q171" s="9" t="str">
        <x:v>task_output-wsl/lite-baseline-001/instances/mwaskom__seaborn-2848/attempt-0001/state.json</x:v>
      </x:c>
      <x:c r="R171" s="2" t="n">
        <x:v>1</x:v>
      </x:c>
    </x:row>
    <x:row r="172" ht="44" customHeight="1">
      <x:c r="A172" s="2" t="str">
        <x:v>mwaskom__seaborn-3010</x:v>
      </x:c>
      <x:c r="B172" s="2" t="str">
        <x:v>mwaskom/seaborn</x:v>
      </x:c>
      <x:c r="C172" s="2" t="str">
        <x:v>attempt-0001</x:v>
      </x:c>
      <x:c r="D172" s="2" t="str">
        <x:v>resolved</x:v>
      </x:c>
      <x:c r="E172" s="2" t="str">
        <x:v>finished</x:v>
      </x:c>
      <x:c r="F172" s="2" t="str">
        <x:v>completed</x:v>
      </x:c>
      <x:c r="G172" s="13" t="n">
        <x:v>1</x:v>
      </x:c>
      <x:c r="H172" s="13" t="n">
        <x:v>1</x:v>
      </x:c>
      <x:c r="I172" s="13" t="n">
        <x:v>1</x:v>
      </x:c>
      <x:c r="J172" s="2" t="str">
        <x:v>通过</x:v>
      </x:c>
      <x:c r="K172" s="2" t="str">
        <x:v>nonempty</x:v>
      </x:c>
      <x:c r="L172" s="2" t="str">
        <x:v>resolved</x:v>
      </x:c>
      <x:c r="M172" s="11" t="n">
        <x:v>37</x:v>
      </x:c>
      <x:c r="N172" s="11" t="n">
        <x:v>391295</x:v>
      </x:c>
      <x:c r="O172" s="12" t="n">
        <x:v>121.366</x:v>
      </x:c>
      <x:c r="P172" s="9" t="str"/>
      <x:c r="Q172" s="9" t="str">
        <x:v>task_output-wsl/lite-baseline-001/instances/mwaskom__seaborn-3010/attempt-0001/state.json</x:v>
      </x:c>
      <x:c r="R172" s="2" t="n">
        <x:v>1</x:v>
      </x:c>
    </x:row>
    <x:row r="173" ht="44" customHeight="1">
      <x:c r="A173" s="2" t="str">
        <x:v>mwaskom__seaborn-3190</x:v>
      </x:c>
      <x:c r="B173" s="2" t="str">
        <x:v>mwaskom/seaborn</x:v>
      </x:c>
      <x:c r="C173" s="2" t="str">
        <x:v>attempt-0001</x:v>
      </x:c>
      <x:c r="D173" s="2" t="str">
        <x:v>resolved</x:v>
      </x:c>
      <x:c r="E173" s="2" t="str">
        <x:v>finished</x:v>
      </x:c>
      <x:c r="F173" s="2" t="str">
        <x:v>limit</x:v>
      </x:c>
      <x:c r="G173" s="13" t="n">
        <x:v>1</x:v>
      </x:c>
      <x:c r="H173" s="13" t="n">
        <x:v>1</x:v>
      </x:c>
      <x:c r="I173" s="13" t="n">
        <x:v>1</x:v>
      </x:c>
      <x:c r="J173" s="2" t="str">
        <x:v>通过</x:v>
      </x:c>
      <x:c r="K173" s="2" t="str">
        <x:v>nonempty</x:v>
      </x:c>
      <x:c r="L173" s="2" t="str">
        <x:v>resolved</x:v>
      </x:c>
      <x:c r="M173" s="11" t="n">
        <x:v>63</x:v>
      </x:c>
      <x:c r="N173" s="11" t="n">
        <x:v>695217</x:v>
      </x:c>
      <x:c r="O173" s="12" t="n">
        <x:v>170.447</x:v>
      </x:c>
      <x:c r="P173" s="9" t="str">
        <x:v>Lead model-turn limit reached.</x:v>
      </x:c>
      <x:c r="Q173" s="9" t="str">
        <x:v>task_output-wsl/lite-baseline-001/instances/mwaskom__seaborn-3190/attempt-0001/state.json</x:v>
      </x:c>
      <x:c r="R173" s="2" t="n">
        <x:v>1</x:v>
      </x:c>
    </x:row>
    <x:row r="174" ht="44" customHeight="1">
      <x:c r="A174" s="2" t="str">
        <x:v>mwaskom__seaborn-3407</x:v>
      </x:c>
      <x:c r="B174" s="2" t="str">
        <x:v>mwaskom/seaborn</x:v>
      </x:c>
      <x:c r="C174" s="2" t="str">
        <x:v>attempt-0001</x:v>
      </x:c>
      <x:c r="D174" s="2" t="str">
        <x:v>unresolved</x:v>
      </x:c>
      <x:c r="E174" s="2" t="str">
        <x:v>finished</x:v>
      </x:c>
      <x:c r="F174" s="2" t="str">
        <x:v>completed</x:v>
      </x:c>
      <x:c r="G174" s="13" t="n">
        <x:v>1</x:v>
      </x:c>
      <x:c r="H174" s="13" t="n">
        <x:v>1</x:v>
      </x:c>
      <x:c r="I174" s="13" t="n">
        <x:v>1</x:v>
      </x:c>
      <x:c r="J174" s="2" t="str">
        <x:v>通过</x:v>
      </x:c>
      <x:c r="K174" s="2" t="str">
        <x:v>nonempty</x:v>
      </x:c>
      <x:c r="L174" s="2" t="str">
        <x:v>unresolved</x:v>
      </x:c>
      <x:c r="M174" s="11" t="n">
        <x:v>37</x:v>
      </x:c>
      <x:c r="N174" s="11" t="n">
        <x:v>431667</x:v>
      </x:c>
      <x:c r="O174" s="12" t="n">
        <x:v>338.539</x:v>
      </x:c>
      <x:c r="P174" s="9" t="str"/>
      <x:c r="Q174" s="9" t="str">
        <x:v>task_output-wsl/lite-baseline-001/instances/mwaskom__seaborn-3407/attempt-0001/state.json</x:v>
      </x:c>
      <x:c r="R174" s="2" t="n">
        <x:v>1</x:v>
      </x:c>
    </x:row>
    <x:row r="175" ht="44" customHeight="1">
      <x:c r="A175" s="2" t="str">
        <x:v>pallets__flask-4045</x:v>
      </x:c>
      <x:c r="B175" s="2" t="str">
        <x:v>pallets/flask</x:v>
      </x:c>
      <x:c r="C175" s="2" t="str">
        <x:v>attempt-0001</x:v>
      </x:c>
      <x:c r="D175" s="2" t="str">
        <x:v>unresolved</x:v>
      </x:c>
      <x:c r="E175" s="2" t="str">
        <x:v>finished</x:v>
      </x:c>
      <x:c r="F175" s="2" t="str">
        <x:v>completed</x:v>
      </x:c>
      <x:c r="G175" s="13" t="n">
        <x:v>1</x:v>
      </x:c>
      <x:c r="H175" s="13" t="n">
        <x:v>1</x:v>
      </x:c>
      <x:c r="I175" s="13" t="n">
        <x:v>1</x:v>
      </x:c>
      <x:c r="J175" s="2" t="str">
        <x:v>通过</x:v>
      </x:c>
      <x:c r="K175" s="2" t="str">
        <x:v>nonempty</x:v>
      </x:c>
      <x:c r="L175" s="2" t="str">
        <x:v>unresolved</x:v>
      </x:c>
      <x:c r="M175" s="11" t="n">
        <x:v>36</x:v>
      </x:c>
      <x:c r="N175" s="11" t="n">
        <x:v>368424</x:v>
      </x:c>
      <x:c r="O175" s="12" t="n">
        <x:v>82.626</x:v>
      </x:c>
      <x:c r="P175" s="9" t="str"/>
      <x:c r="Q175" s="9" t="str">
        <x:v>task_output-wsl/lite-baseline-001/instances/pallets__flask-4045/attempt-0001/state.json</x:v>
      </x:c>
      <x:c r="R175" s="2" t="n">
        <x:v>1</x:v>
      </x:c>
    </x:row>
    <x:row r="176" ht="44" customHeight="1">
      <x:c r="A176" s="2" t="str">
        <x:v>pallets__flask-4992</x:v>
      </x:c>
      <x:c r="B176" s="2" t="str">
        <x:v>pallets/flask</x:v>
      </x:c>
      <x:c r="C176" s="2" t="str">
        <x:v>attempt-0001</x:v>
      </x:c>
      <x:c r="D176" s="2" t="str">
        <x:v>resolved</x:v>
      </x:c>
      <x:c r="E176" s="2" t="str">
        <x:v>finished</x:v>
      </x:c>
      <x:c r="F176" s="2" t="str">
        <x:v>completed</x:v>
      </x:c>
      <x:c r="G176" s="13" t="n">
        <x:v>1</x:v>
      </x:c>
      <x:c r="H176" s="13" t="n">
        <x:v>1</x:v>
      </x:c>
      <x:c r="I176" s="13" t="n">
        <x:v>1</x:v>
      </x:c>
      <x:c r="J176" s="2" t="str">
        <x:v>通过</x:v>
      </x:c>
      <x:c r="K176" s="2" t="str">
        <x:v>nonempty</x:v>
      </x:c>
      <x:c r="L176" s="2" t="str">
        <x:v>resolved</x:v>
      </x:c>
      <x:c r="M176" s="11" t="n">
        <x:v>7</x:v>
      </x:c>
      <x:c r="N176" s="11" t="n">
        <x:v>46185</x:v>
      </x:c>
      <x:c r="O176" s="12" t="n">
        <x:v>15.83</x:v>
      </x:c>
      <x:c r="P176" s="9" t="str"/>
      <x:c r="Q176" s="9" t="str">
        <x:v>task_output-wsl/lite-baseline-001/instances/pallets__flask-4992/attempt-0001/state.json</x:v>
      </x:c>
      <x:c r="R176" s="2" t="n">
        <x:v>1</x:v>
      </x:c>
    </x:row>
    <x:row r="177" ht="44" customHeight="1">
      <x:c r="A177" s="2" t="str">
        <x:v>pallets__flask-5063</x:v>
      </x:c>
      <x:c r="B177" s="2" t="str">
        <x:v>pallets/flask</x:v>
      </x:c>
      <x:c r="C177" s="2" t="str">
        <x:v>attempt-0001</x:v>
      </x:c>
      <x:c r="D177" s="2" t="str">
        <x:v>resolved</x:v>
      </x:c>
      <x:c r="E177" s="2" t="str">
        <x:v>finished</x:v>
      </x:c>
      <x:c r="F177" s="2" t="str">
        <x:v>completed</x:v>
      </x:c>
      <x:c r="G177" s="13" t="n">
        <x:v>1</x:v>
      </x:c>
      <x:c r="H177" s="13" t="n">
        <x:v>1</x:v>
      </x:c>
      <x:c r="I177" s="13" t="n">
        <x:v>1</x:v>
      </x:c>
      <x:c r="J177" s="2" t="str">
        <x:v>通过</x:v>
      </x:c>
      <x:c r="K177" s="2" t="str">
        <x:v>nonempty</x:v>
      </x:c>
      <x:c r="L177" s="2" t="str">
        <x:v>resolved</x:v>
      </x:c>
      <x:c r="M177" s="11" t="n">
        <x:v>24</x:v>
      </x:c>
      <x:c r="N177" s="11" t="n">
        <x:v>204247</x:v>
      </x:c>
      <x:c r="O177" s="12" t="n">
        <x:v>79.369</x:v>
      </x:c>
      <x:c r="P177" s="9" t="str"/>
      <x:c r="Q177" s="9" t="str">
        <x:v>task_output-wsl/lite-baseline-001/instances/pallets__flask-5063/attempt-0001/state.json</x:v>
      </x:c>
      <x:c r="R177" s="2" t="n">
        <x:v>1</x:v>
      </x:c>
    </x:row>
    <x:row r="178" ht="44" customHeight="1">
      <x:c r="A178" s="2" t="str">
        <x:v>psf__requests-1963</x:v>
      </x:c>
      <x:c r="B178" s="2" t="str">
        <x:v>psf/requests</x:v>
      </x:c>
      <x:c r="C178" s="2" t="str">
        <x:v>attempt-0001</x:v>
      </x:c>
      <x:c r="D178" s="2" t="str">
        <x:v>resolved</x:v>
      </x:c>
      <x:c r="E178" s="2" t="str">
        <x:v>finished</x:v>
      </x:c>
      <x:c r="F178" s="2" t="str">
        <x:v>completed</x:v>
      </x:c>
      <x:c r="G178" s="13" t="n">
        <x:v>1</x:v>
      </x:c>
      <x:c r="H178" s="13" t="n">
        <x:v>1</x:v>
      </x:c>
      <x:c r="I178" s="13" t="n">
        <x:v>1</x:v>
      </x:c>
      <x:c r="J178" s="2" t="str">
        <x:v>通过</x:v>
      </x:c>
      <x:c r="K178" s="2" t="str">
        <x:v>nonempty</x:v>
      </x:c>
      <x:c r="L178" s="2" t="str">
        <x:v>resolved</x:v>
      </x:c>
      <x:c r="M178" s="11" t="n">
        <x:v>19</x:v>
      </x:c>
      <x:c r="N178" s="11" t="n">
        <x:v>206539</x:v>
      </x:c>
      <x:c r="O178" s="12" t="n">
        <x:v>158.321</x:v>
      </x:c>
      <x:c r="P178" s="9" t="str"/>
      <x:c r="Q178" s="9" t="str">
        <x:v>task_output-wsl/lite-baseline-001/instances/psf__requests-1963/attempt-0001/state.json</x:v>
      </x:c>
      <x:c r="R178" s="2" t="n">
        <x:v>1</x:v>
      </x:c>
    </x:row>
    <x:row r="179" ht="44" customHeight="1">
      <x:c r="A179" s="2" t="str">
        <x:v>psf__requests-2148</x:v>
      </x:c>
      <x:c r="B179" s="2" t="str">
        <x:v>psf/requests</x:v>
      </x:c>
      <x:c r="C179" s="2" t="str">
        <x:v>attempt-0001</x:v>
      </x:c>
      <x:c r="D179" s="2" t="str">
        <x:v>empty_patch</x:v>
      </x:c>
      <x:c r="E179" s="2" t="str">
        <x:v>finished</x:v>
      </x:c>
      <x:c r="F179" s="2" t="str">
        <x:v>completed</x:v>
      </x:c>
      <x:c r="G179" s="13" t="n">
        <x:v>1</x:v>
      </x:c>
      <x:c r="H179" s="13" t="n">
        <x:v>1</x:v>
      </x:c>
      <x:c r="I179" s="13" t="n">
        <x:v>1</x:v>
      </x:c>
      <x:c r="J179" s="2" t="str">
        <x:v>通过</x:v>
      </x:c>
      <x:c r="K179" s="2" t="str">
        <x:v>empty</x:v>
      </x:c>
      <x:c r="L179" s="2" t="str">
        <x:v>not_run</x:v>
      </x:c>
      <x:c r="M179" s="11" t="n">
        <x:v>26</x:v>
      </x:c>
      <x:c r="N179" s="11" t="n">
        <x:v>277904</x:v>
      </x:c>
      <x:c r="O179" s="12" t="n">
        <x:v>163.463</x:v>
      </x:c>
      <x:c r="P179" s="9" t="str">
        <x:v>Runner collected no working-tree changes.</x:v>
      </x:c>
      <x:c r="Q179" s="9" t="str">
        <x:v>task_output-wsl/lite-baseline-001/instances/psf__requests-2148/attempt-0001/state.json</x:v>
      </x:c>
      <x:c r="R179" s="2" t="n">
        <x:v>1</x:v>
      </x:c>
    </x:row>
    <x:row r="180" ht="44" customHeight="1">
      <x:c r="A180" s="2" t="str">
        <x:v>psf__requests-2317</x:v>
      </x:c>
      <x:c r="B180" s="2" t="str">
        <x:v>psf/requests</x:v>
      </x:c>
      <x:c r="C180" s="2" t="str">
        <x:v>attempt-0001</x:v>
      </x:c>
      <x:c r="D180" s="2" t="str">
        <x:v>error</x:v>
      </x:c>
      <x:c r="E180" s="2" t="str">
        <x:v>gold</x:v>
      </x:c>
      <x:c r="F180" s="2" t="str">
        <x:v>未启动</x:v>
      </x:c>
      <x:c r="G180" s="13" t="n">
        <x:v>1</x:v>
      </x:c>
      <x:c r="H180" s="13" t="n">
        <x:v>0</x:v>
      </x:c>
      <x:c r="I180" s="13" t="n">
        <x:v>0</x:v>
      </x:c>
      <x:c r="J180" s="2" t="str">
        <x:v>未通过</x:v>
      </x:c>
      <x:c r="K180" s="2" t="str">
        <x:v>not_collected</x:v>
      </x:c>
      <x:c r="L180" s="2" t="str">
        <x:v>not_run</x:v>
      </x:c>
      <x:c r="M180" s="11" t="n">
        <x:v>0</x:v>
      </x:c>
      <x:c r="N180" s="11" t="n">
        <x:v>0</x:v>
      </x:c>
      <x:c r="O180" s="12"/>
      <x:c r="P180" s="9" t="str">
        <x:v>RuntimeError: Reference patch failed; Agent was not started. Inspect the gold report.</x:v>
      </x:c>
      <x:c r="Q180" s="9" t="str">
        <x:v>task_output-wsl/lite-baseline-001/instances/psf__requests-2317/attempt-0001/state.json</x:v>
      </x:c>
      <x:c r="R180" s="2" t="n">
        <x:v>0</x:v>
      </x:c>
    </x:row>
    <x:row r="181" ht="44" customHeight="1">
      <x:c r="A181" s="2" t="str">
        <x:v>psf__requests-2317</x:v>
      </x:c>
      <x:c r="B181" s="2" t="str">
        <x:v>psf/requests</x:v>
      </x:c>
      <x:c r="C181" s="2" t="str">
        <x:v>attempt-0002</x:v>
      </x:c>
      <x:c r="D181" s="2" t="str">
        <x:v>error</x:v>
      </x:c>
      <x:c r="E181" s="2" t="str">
        <x:v>gold</x:v>
      </x:c>
      <x:c r="F181" s="2" t="str">
        <x:v>未启动</x:v>
      </x:c>
      <x:c r="G181" s="13" t="n">
        <x:v>0</x:v>
      </x:c>
      <x:c r="H181" s="13" t="n">
        <x:v>0</x:v>
      </x:c>
      <x:c r="I181" s="13" t="n">
        <x:v>0</x:v>
      </x:c>
      <x:c r="J181" s="2" t="str">
        <x:v>未通过</x:v>
      </x:c>
      <x:c r="K181" s="2" t="str">
        <x:v>not_collected</x:v>
      </x:c>
      <x:c r="L181" s="2" t="str">
        <x:v>not_run</x:v>
      </x:c>
      <x:c r="M181" s="11" t="n">
        <x:v>0</x:v>
      </x:c>
      <x:c r="N181" s="11" t="n">
        <x:v>0</x:v>
      </x:c>
      <x:c r="O181" s="12"/>
      <x:c r="P181" s="9" t="str">
        <x:v>RuntimeError: Reference patch failed; Agent was not started. Inspect the gold report.</x:v>
      </x:c>
      <x:c r="Q181" s="9" t="str">
        <x:v>task_output-wsl/lite-baseline-001/instances/psf__requests-2317/attempt-0002/state.json</x:v>
      </x:c>
      <x:c r="R181" s="2" t="n">
        <x:v>1</x:v>
      </x:c>
    </x:row>
    <x:row r="182" ht="44" customHeight="1">
      <x:c r="A182" s="2" t="str">
        <x:v>psf__requests-2674</x:v>
      </x:c>
      <x:c r="B182" s="2" t="str">
        <x:v>psf/requests</x:v>
      </x:c>
      <x:c r="C182" s="2" t="str">
        <x:v>attempt-0001</x:v>
      </x:c>
      <x:c r="D182" s="2" t="str">
        <x:v>error</x:v>
      </x:c>
      <x:c r="E182" s="2" t="str">
        <x:v>gold</x:v>
      </x:c>
      <x:c r="F182" s="2" t="str">
        <x:v>未启动</x:v>
      </x:c>
      <x:c r="G182" s="13" t="n">
        <x:v>1</x:v>
      </x:c>
      <x:c r="H182" s="13" t="n">
        <x:v>0</x:v>
      </x:c>
      <x:c r="I182" s="13" t="n">
        <x:v>0</x:v>
      </x:c>
      <x:c r="J182" s="2" t="str">
        <x:v>未通过</x:v>
      </x:c>
      <x:c r="K182" s="2" t="str">
        <x:v>not_collected</x:v>
      </x:c>
      <x:c r="L182" s="2" t="str">
        <x:v>not_run</x:v>
      </x:c>
      <x:c r="M182" s="11" t="n">
        <x:v>0</x:v>
      </x:c>
      <x:c r="N182" s="11" t="n">
        <x:v>0</x:v>
      </x:c>
      <x:c r="O182" s="12"/>
      <x:c r="P182" s="9" t="str">
        <x:v>RuntimeError: Reference patch failed; Agent was not started. Inspect the gold report.</x:v>
      </x:c>
      <x:c r="Q182" s="9" t="str">
        <x:v>task_output-wsl/lite-baseline-001/instances/psf__requests-2674/attempt-0001/state.json</x:v>
      </x:c>
      <x:c r="R182" s="2" t="n">
        <x:v>0</x:v>
      </x:c>
    </x:row>
    <x:row r="183" ht="44" customHeight="1">
      <x:c r="A183" s="2" t="str">
        <x:v>psf__requests-2674</x:v>
      </x:c>
      <x:c r="B183" s="2" t="str">
        <x:v>psf/requests</x:v>
      </x:c>
      <x:c r="C183" s="2" t="str">
        <x:v>attempt-0002</x:v>
      </x:c>
      <x:c r="D183" s="2" t="str">
        <x:v>error</x:v>
      </x:c>
      <x:c r="E183" s="2" t="str">
        <x:v>gold</x:v>
      </x:c>
      <x:c r="F183" s="2" t="str">
        <x:v>未启动</x:v>
      </x:c>
      <x:c r="G183" s="13" t="n">
        <x:v>0</x:v>
      </x:c>
      <x:c r="H183" s="13" t="n">
        <x:v>0</x:v>
      </x:c>
      <x:c r="I183" s="13" t="n">
        <x:v>0</x:v>
      </x:c>
      <x:c r="J183" s="2" t="str">
        <x:v>未通过</x:v>
      </x:c>
      <x:c r="K183" s="2" t="str">
        <x:v>not_collected</x:v>
      </x:c>
      <x:c r="L183" s="2" t="str">
        <x:v>not_run</x:v>
      </x:c>
      <x:c r="M183" s="11" t="n">
        <x:v>0</x:v>
      </x:c>
      <x:c r="N183" s="11" t="n">
        <x:v>0</x:v>
      </x:c>
      <x:c r="O183" s="12"/>
      <x:c r="P183" s="9" t="str">
        <x:v>RuntimeError: Reference patch failed; Agent was not started. Inspect the gold report.</x:v>
      </x:c>
      <x:c r="Q183" s="9" t="str">
        <x:v>task_output-wsl/lite-baseline-001/instances/psf__requests-2674/attempt-0002/state.json</x:v>
      </x:c>
      <x:c r="R183" s="2" t="n">
        <x:v>1</x:v>
      </x:c>
    </x:row>
    <x:row r="184" ht="44" customHeight="1">
      <x:c r="A184" s="2" t="str">
        <x:v>psf__requests-3362</x:v>
      </x:c>
      <x:c r="B184" s="2" t="str">
        <x:v>psf/requests</x:v>
      </x:c>
      <x:c r="C184" s="2" t="str">
        <x:v>attempt-0001</x:v>
      </x:c>
      <x:c r="D184" s="2" t="str">
        <x:v>error</x:v>
      </x:c>
      <x:c r="E184" s="2" t="str">
        <x:v>gold</x:v>
      </x:c>
      <x:c r="F184" s="2" t="str">
        <x:v>未启动</x:v>
      </x:c>
      <x:c r="G184" s="13" t="n">
        <x:v>1</x:v>
      </x:c>
      <x:c r="H184" s="13" t="n">
        <x:v>0</x:v>
      </x:c>
      <x:c r="I184" s="13" t="n">
        <x:v>0</x:v>
      </x:c>
      <x:c r="J184" s="2" t="str">
        <x:v>未通过</x:v>
      </x:c>
      <x:c r="K184" s="2" t="str">
        <x:v>not_collected</x:v>
      </x:c>
      <x:c r="L184" s="2" t="str">
        <x:v>not_run</x:v>
      </x:c>
      <x:c r="M184" s="11" t="n">
        <x:v>0</x:v>
      </x:c>
      <x:c r="N184" s="11" t="n">
        <x:v>0</x:v>
      </x:c>
      <x:c r="O184" s="12"/>
      <x:c r="P184" s="9" t="str">
        <x:v>RuntimeError: Reference patch failed; Agent was not started. Inspect the gold report.</x:v>
      </x:c>
      <x:c r="Q184" s="9" t="str">
        <x:v>task_output-wsl/lite-baseline-001/instances/psf__requests-3362/attempt-0001/state.json</x:v>
      </x:c>
      <x:c r="R184" s="2" t="n">
        <x:v>0</x:v>
      </x:c>
    </x:row>
    <x:row r="185" ht="44" customHeight="1">
      <x:c r="A185" s="2" t="str">
        <x:v>psf__requests-3362</x:v>
      </x:c>
      <x:c r="B185" s="2" t="str">
        <x:v>psf/requests</x:v>
      </x:c>
      <x:c r="C185" s="2" t="str">
        <x:v>attempt-0002</x:v>
      </x:c>
      <x:c r="D185" s="2" t="str">
        <x:v>error</x:v>
      </x:c>
      <x:c r="E185" s="2" t="str">
        <x:v>gold</x:v>
      </x:c>
      <x:c r="F185" s="2" t="str">
        <x:v>未启动</x:v>
      </x:c>
      <x:c r="G185" s="13" t="n">
        <x:v>0</x:v>
      </x:c>
      <x:c r="H185" s="13" t="n">
        <x:v>0</x:v>
      </x:c>
      <x:c r="I185" s="13" t="n">
        <x:v>0</x:v>
      </x:c>
      <x:c r="J185" s="2" t="str">
        <x:v>未通过</x:v>
      </x:c>
      <x:c r="K185" s="2" t="str">
        <x:v>not_collected</x:v>
      </x:c>
      <x:c r="L185" s="2" t="str">
        <x:v>not_run</x:v>
      </x:c>
      <x:c r="M185" s="11" t="n">
        <x:v>0</x:v>
      </x:c>
      <x:c r="N185" s="11" t="n">
        <x:v>0</x:v>
      </x:c>
      <x:c r="O185" s="12"/>
      <x:c r="P185" s="9" t="str">
        <x:v>RuntimeError: Reference patch failed; Agent was not started. Inspect the gold report.</x:v>
      </x:c>
      <x:c r="Q185" s="9" t="str">
        <x:v>task_output-wsl/lite-baseline-001/instances/psf__requests-3362/attempt-0002/state.json</x:v>
      </x:c>
      <x:c r="R185" s="2" t="n">
        <x:v>1</x:v>
      </x:c>
    </x:row>
    <x:row r="186" ht="44" customHeight="1">
      <x:c r="A186" s="2" t="str">
        <x:v>psf__requests-863</x:v>
      </x:c>
      <x:c r="B186" s="2" t="str">
        <x:v>psf/requests</x:v>
      </x:c>
      <x:c r="C186" s="2" t="str">
        <x:v>attempt-0001</x:v>
      </x:c>
      <x:c r="D186" s="2" t="str">
        <x:v>error</x:v>
      </x:c>
      <x:c r="E186" s="2" t="str">
        <x:v>gold</x:v>
      </x:c>
      <x:c r="F186" s="2" t="str">
        <x:v>未启动</x:v>
      </x:c>
      <x:c r="G186" s="13" t="n">
        <x:v>1</x:v>
      </x:c>
      <x:c r="H186" s="13" t="n">
        <x:v>0</x:v>
      </x:c>
      <x:c r="I186" s="13" t="n">
        <x:v>0</x:v>
      </x:c>
      <x:c r="J186" s="2" t="str">
        <x:v>未通过</x:v>
      </x:c>
      <x:c r="K186" s="2" t="str">
        <x:v>not_collected</x:v>
      </x:c>
      <x:c r="L186" s="2" t="str">
        <x:v>not_run</x:v>
      </x:c>
      <x:c r="M186" s="11" t="n">
        <x:v>0</x:v>
      </x:c>
      <x:c r="N186" s="11" t="n">
        <x:v>0</x:v>
      </x:c>
      <x:c r="O186" s="12"/>
      <x:c r="P186" s="9" t="str">
        <x:v>RuntimeError: Reference patch failed; Agent was not started. Inspect the gold report.</x:v>
      </x:c>
      <x:c r="Q186" s="9" t="str">
        <x:v>task_output-wsl/lite-baseline-001/instances/psf__requests-863/attempt-0001/state.json</x:v>
      </x:c>
      <x:c r="R186" s="2" t="n">
        <x:v>0</x:v>
      </x:c>
    </x:row>
    <x:row r="187" ht="44" customHeight="1">
      <x:c r="A187" s="2" t="str">
        <x:v>psf__requests-863</x:v>
      </x:c>
      <x:c r="B187" s="2" t="str">
        <x:v>psf/requests</x:v>
      </x:c>
      <x:c r="C187" s="2" t="str">
        <x:v>attempt-0002</x:v>
      </x:c>
      <x:c r="D187" s="2" t="str">
        <x:v>error</x:v>
      </x:c>
      <x:c r="E187" s="2" t="str">
        <x:v>gold</x:v>
      </x:c>
      <x:c r="F187" s="2" t="str">
        <x:v>未启动</x:v>
      </x:c>
      <x:c r="G187" s="13" t="n">
        <x:v>0</x:v>
      </x:c>
      <x:c r="H187" s="13" t="n">
        <x:v>0</x:v>
      </x:c>
      <x:c r="I187" s="13" t="n">
        <x:v>0</x:v>
      </x:c>
      <x:c r="J187" s="2" t="str">
        <x:v>未通过</x:v>
      </x:c>
      <x:c r="K187" s="2" t="str">
        <x:v>not_collected</x:v>
      </x:c>
      <x:c r="L187" s="2" t="str">
        <x:v>not_run</x:v>
      </x:c>
      <x:c r="M187" s="11" t="n">
        <x:v>0</x:v>
      </x:c>
      <x:c r="N187" s="11" t="n">
        <x:v>0</x:v>
      </x:c>
      <x:c r="O187" s="12"/>
      <x:c r="P187" s="9" t="str">
        <x:v>RuntimeError: Reference patch failed; Agent was not started. Inspect the gold report.</x:v>
      </x:c>
      <x:c r="Q187" s="9" t="str">
        <x:v>task_output-wsl/lite-baseline-001/instances/psf__requests-863/attempt-0002/state.json</x:v>
      </x:c>
      <x:c r="R187" s="2" t="n">
        <x:v>1</x:v>
      </x:c>
    </x:row>
    <x:row r="188" ht="44" customHeight="1">
      <x:c r="A188" s="2" t="str">
        <x:v>pydata__xarray-3364</x:v>
      </x:c>
      <x:c r="B188" s="2" t="str">
        <x:v>pydata/xarray</x:v>
      </x:c>
      <x:c r="C188" s="2" t="str">
        <x:v>attempt-0001</x:v>
      </x:c>
      <x:c r="D188" s="2" t="str">
        <x:v>resolved</x:v>
      </x:c>
      <x:c r="E188" s="2" t="str">
        <x:v>finished</x:v>
      </x:c>
      <x:c r="F188" s="2" t="str">
        <x:v>completed</x:v>
      </x:c>
      <x:c r="G188" s="13" t="n">
        <x:v>1</x:v>
      </x:c>
      <x:c r="H188" s="13" t="n">
        <x:v>1</x:v>
      </x:c>
      <x:c r="I188" s="13" t="n">
        <x:v>1</x:v>
      </x:c>
      <x:c r="J188" s="2" t="str">
        <x:v>通过</x:v>
      </x:c>
      <x:c r="K188" s="2" t="str">
        <x:v>nonempty</x:v>
      </x:c>
      <x:c r="L188" s="2" t="str">
        <x:v>resolved</x:v>
      </x:c>
      <x:c r="M188" s="11" t="n">
        <x:v>36</x:v>
      </x:c>
      <x:c r="N188" s="11" t="n">
        <x:v>381109</x:v>
      </x:c>
      <x:c r="O188" s="12" t="n">
        <x:v>90.145</x:v>
      </x:c>
      <x:c r="P188" s="9" t="str"/>
      <x:c r="Q188" s="9" t="str">
        <x:v>task_output-wsl/lite-baseline-001/instances/pydata__xarray-3364/attempt-0001/state.json</x:v>
      </x:c>
      <x:c r="R188" s="2" t="n">
        <x:v>1</x:v>
      </x:c>
    </x:row>
    <x:row r="189" ht="44" customHeight="1">
      <x:c r="A189" s="2" t="str">
        <x:v>pydata__xarray-4094</x:v>
      </x:c>
      <x:c r="B189" s="2" t="str">
        <x:v>pydata/xarray</x:v>
      </x:c>
      <x:c r="C189" s="2" t="str">
        <x:v>attempt-0001</x:v>
      </x:c>
      <x:c r="D189" s="2" t="str">
        <x:v>resolved</x:v>
      </x:c>
      <x:c r="E189" s="2" t="str">
        <x:v>finished</x:v>
      </x:c>
      <x:c r="F189" s="2" t="str">
        <x:v>completed</x:v>
      </x:c>
      <x:c r="G189" s="13" t="n">
        <x:v>1</x:v>
      </x:c>
      <x:c r="H189" s="13" t="n">
        <x:v>1</x:v>
      </x:c>
      <x:c r="I189" s="13" t="n">
        <x:v>1</x:v>
      </x:c>
      <x:c r="J189" s="2" t="str">
        <x:v>通过</x:v>
      </x:c>
      <x:c r="K189" s="2" t="str">
        <x:v>nonempty</x:v>
      </x:c>
      <x:c r="L189" s="2" t="str">
        <x:v>resolved</x:v>
      </x:c>
      <x:c r="M189" s="11" t="n">
        <x:v>16</x:v>
      </x:c>
      <x:c r="N189" s="11" t="n">
        <x:v>167948</x:v>
      </x:c>
      <x:c r="O189" s="12" t="n">
        <x:v>75.194</x:v>
      </x:c>
      <x:c r="P189" s="9" t="str"/>
      <x:c r="Q189" s="9" t="str">
        <x:v>task_output-wsl/lite-baseline-001/instances/pydata__xarray-4094/attempt-0001/state.json</x:v>
      </x:c>
      <x:c r="R189" s="2" t="n">
        <x:v>1</x:v>
      </x:c>
    </x:row>
    <x:row r="190" ht="44" customHeight="1">
      <x:c r="A190" s="2" t="str">
        <x:v>pydata__xarray-4248</x:v>
      </x:c>
      <x:c r="B190" s="2" t="str">
        <x:v>pydata/xarray</x:v>
      </x:c>
      <x:c r="C190" s="2" t="str">
        <x:v>attempt-0001</x:v>
      </x:c>
      <x:c r="D190" s="2" t="str">
        <x:v>resolved</x:v>
      </x:c>
      <x:c r="E190" s="2" t="str">
        <x:v>finished</x:v>
      </x:c>
      <x:c r="F190" s="2" t="str">
        <x:v>completed</x:v>
      </x:c>
      <x:c r="G190" s="13" t="n">
        <x:v>1</x:v>
      </x:c>
      <x:c r="H190" s="13" t="n">
        <x:v>1</x:v>
      </x:c>
      <x:c r="I190" s="13" t="n">
        <x:v>1</x:v>
      </x:c>
      <x:c r="J190" s="2" t="str">
        <x:v>通过</x:v>
      </x:c>
      <x:c r="K190" s="2" t="str">
        <x:v>nonempty</x:v>
      </x:c>
      <x:c r="L190" s="2" t="str">
        <x:v>resolved</x:v>
      </x:c>
      <x:c r="M190" s="11" t="n">
        <x:v>33</x:v>
      </x:c>
      <x:c r="N190" s="11" t="n">
        <x:v>368768</x:v>
      </x:c>
      <x:c r="O190" s="12" t="n">
        <x:v>85.57</x:v>
      </x:c>
      <x:c r="P190" s="9" t="str"/>
      <x:c r="Q190" s="9" t="str">
        <x:v>task_output-wsl/lite-baseline-001/instances/pydata__xarray-4248/attempt-0001/state.json</x:v>
      </x:c>
      <x:c r="R190" s="2" t="n">
        <x:v>1</x:v>
      </x:c>
    </x:row>
    <x:row r="191" ht="44" customHeight="1">
      <x:c r="A191" s="2" t="str">
        <x:v>pydata__xarray-4493</x:v>
      </x:c>
      <x:c r="B191" s="2" t="str">
        <x:v>pydata/xarray</x:v>
      </x:c>
      <x:c r="C191" s="2" t="str">
        <x:v>attempt-0001</x:v>
      </x:c>
      <x:c r="D191" s="2" t="str">
        <x:v>unresolved</x:v>
      </x:c>
      <x:c r="E191" s="2" t="str">
        <x:v>finished</x:v>
      </x:c>
      <x:c r="F191" s="2" t="str">
        <x:v>completed</x:v>
      </x:c>
      <x:c r="G191" s="13" t="n">
        <x:v>1</x:v>
      </x:c>
      <x:c r="H191" s="13" t="n">
        <x:v>1</x:v>
      </x:c>
      <x:c r="I191" s="13" t="n">
        <x:v>1</x:v>
      </x:c>
      <x:c r="J191" s="2" t="str">
        <x:v>通过</x:v>
      </x:c>
      <x:c r="K191" s="2" t="str">
        <x:v>nonempty</x:v>
      </x:c>
      <x:c r="L191" s="2" t="str">
        <x:v>unresolved</x:v>
      </x:c>
      <x:c r="M191" s="11" t="n">
        <x:v>25</x:v>
      </x:c>
      <x:c r="N191" s="11" t="n">
        <x:v>255048</x:v>
      </x:c>
      <x:c r="O191" s="12" t="n">
        <x:v>115.343</x:v>
      </x:c>
      <x:c r="P191" s="9" t="str"/>
      <x:c r="Q191" s="9" t="str">
        <x:v>task_output-wsl/lite-baseline-001/instances/pydata__xarray-4493/attempt-0001/state.json</x:v>
      </x:c>
      <x:c r="R191" s="2" t="n">
        <x:v>1</x:v>
      </x:c>
    </x:row>
    <x:row r="192" ht="44" customHeight="1">
      <x:c r="A192" s="2" t="str">
        <x:v>pydata__xarray-5131</x:v>
      </x:c>
      <x:c r="B192" s="2" t="str">
        <x:v>pydata/xarray</x:v>
      </x:c>
      <x:c r="C192" s="2" t="str">
        <x:v>attempt-0001</x:v>
      </x:c>
      <x:c r="D192" s="2" t="str">
        <x:v>resolved</x:v>
      </x:c>
      <x:c r="E192" s="2" t="str">
        <x:v>finished</x:v>
      </x:c>
      <x:c r="F192" s="2" t="str">
        <x:v>completed</x:v>
      </x:c>
      <x:c r="G192" s="13" t="n">
        <x:v>1</x:v>
      </x:c>
      <x:c r="H192" s="13" t="n">
        <x:v>1</x:v>
      </x:c>
      <x:c r="I192" s="13" t="n">
        <x:v>1</x:v>
      </x:c>
      <x:c r="J192" s="2" t="str">
        <x:v>通过</x:v>
      </x:c>
      <x:c r="K192" s="2" t="str">
        <x:v>nonempty</x:v>
      </x:c>
      <x:c r="L192" s="2" t="str">
        <x:v>resolved</x:v>
      </x:c>
      <x:c r="M192" s="11" t="n">
        <x:v>10</x:v>
      </x:c>
      <x:c r="N192" s="11" t="n">
        <x:v>50141</x:v>
      </x:c>
      <x:c r="O192" s="12" t="n">
        <x:v>23.288</x:v>
      </x:c>
      <x:c r="P192" s="9" t="str"/>
      <x:c r="Q192" s="9" t="str">
        <x:v>task_output-wsl/lite-baseline-001/instances/pydata__xarray-5131/attempt-0001/state.json</x:v>
      </x:c>
      <x:c r="R192" s="2" t="n">
        <x:v>1</x:v>
      </x:c>
    </x:row>
    <x:row r="193" ht="44" customHeight="1">
      <x:c r="A193" s="2" t="str">
        <x:v>pylint-dev__pylint-5859</x:v>
      </x:c>
      <x:c r="B193" s="2" t="str">
        <x:v>pylint-dev/pylint</x:v>
      </x:c>
      <x:c r="C193" s="2" t="str">
        <x:v>attempt-0001</x:v>
      </x:c>
      <x:c r="D193" s="2" t="str">
        <x:v>resolved</x:v>
      </x:c>
      <x:c r="E193" s="2" t="str">
        <x:v>finished</x:v>
      </x:c>
      <x:c r="F193" s="2" t="str">
        <x:v>completed</x:v>
      </x:c>
      <x:c r="G193" s="13" t="n">
        <x:v>1</x:v>
      </x:c>
      <x:c r="H193" s="13" t="n">
        <x:v>1</x:v>
      </x:c>
      <x:c r="I193" s="13" t="n">
        <x:v>1</x:v>
      </x:c>
      <x:c r="J193" s="2" t="str">
        <x:v>通过</x:v>
      </x:c>
      <x:c r="K193" s="2" t="str">
        <x:v>nonempty</x:v>
      </x:c>
      <x:c r="L193" s="2" t="str">
        <x:v>resolved</x:v>
      </x:c>
      <x:c r="M193" s="11" t="n">
        <x:v>9</x:v>
      </x:c>
      <x:c r="N193" s="11" t="n">
        <x:v>59155</x:v>
      </x:c>
      <x:c r="O193" s="12" t="n">
        <x:v>20.41</x:v>
      </x:c>
      <x:c r="P193" s="9" t="str"/>
      <x:c r="Q193" s="9" t="str">
        <x:v>task_output-wsl/lite-baseline-001/instances/pylint-dev__pylint-5859/attempt-0001/state.json</x:v>
      </x:c>
      <x:c r="R193" s="2" t="n">
        <x:v>1</x:v>
      </x:c>
    </x:row>
    <x:row r="194" ht="44" customHeight="1">
      <x:c r="A194" s="2" t="str">
        <x:v>pylint-dev__pylint-6506</x:v>
      </x:c>
      <x:c r="B194" s="2" t="str">
        <x:v>pylint-dev/pylint</x:v>
      </x:c>
      <x:c r="C194" s="2" t="str">
        <x:v>attempt-0001</x:v>
      </x:c>
      <x:c r="D194" s="2" t="str">
        <x:v>resolved</x:v>
      </x:c>
      <x:c r="E194" s="2" t="str">
        <x:v>finished</x:v>
      </x:c>
      <x:c r="F194" s="2" t="str">
        <x:v>completed</x:v>
      </x:c>
      <x:c r="G194" s="13" t="n">
        <x:v>1</x:v>
      </x:c>
      <x:c r="H194" s="13" t="n">
        <x:v>1</x:v>
      </x:c>
      <x:c r="I194" s="13" t="n">
        <x:v>1</x:v>
      </x:c>
      <x:c r="J194" s="2" t="str">
        <x:v>通过</x:v>
      </x:c>
      <x:c r="K194" s="2" t="str">
        <x:v>nonempty</x:v>
      </x:c>
      <x:c r="L194" s="2" t="str">
        <x:v>resolved</x:v>
      </x:c>
      <x:c r="M194" s="11" t="n">
        <x:v>26</x:v>
      </x:c>
      <x:c r="N194" s="11" t="n">
        <x:v>294945</x:v>
      </x:c>
      <x:c r="O194" s="12" t="n">
        <x:v>56.221</x:v>
      </x:c>
      <x:c r="P194" s="9" t="str"/>
      <x:c r="Q194" s="9" t="str">
        <x:v>task_output-wsl/lite-baseline-001/instances/pylint-dev__pylint-6506/attempt-0001/state.json</x:v>
      </x:c>
      <x:c r="R194" s="2" t="n">
        <x:v>1</x:v>
      </x:c>
    </x:row>
    <x:row r="195" ht="44" customHeight="1">
      <x:c r="A195" s="2" t="str">
        <x:v>pylint-dev__pylint-7080</x:v>
      </x:c>
      <x:c r="B195" s="2" t="str">
        <x:v>pylint-dev/pylint</x:v>
      </x:c>
      <x:c r="C195" s="2" t="str">
        <x:v>attempt-0001</x:v>
      </x:c>
      <x:c r="D195" s="2" t="str">
        <x:v>empty_patch</x:v>
      </x:c>
      <x:c r="E195" s="2" t="str">
        <x:v>finished</x:v>
      </x:c>
      <x:c r="F195" s="2" t="str">
        <x:v>limit</x:v>
      </x:c>
      <x:c r="G195" s="13" t="n">
        <x:v>1</x:v>
      </x:c>
      <x:c r="H195" s="13" t="n">
        <x:v>1</x:v>
      </x:c>
      <x:c r="I195" s="13" t="n">
        <x:v>1</x:v>
      </x:c>
      <x:c r="J195" s="2" t="str">
        <x:v>通过</x:v>
      </x:c>
      <x:c r="K195" s="2" t="str">
        <x:v>empty</x:v>
      </x:c>
      <x:c r="L195" s="2" t="str">
        <x:v>not_run</x:v>
      </x:c>
      <x:c r="M195" s="11" t="n">
        <x:v>67</x:v>
      </x:c>
      <x:c r="N195" s="11" t="n">
        <x:v>925750</x:v>
      </x:c>
      <x:c r="O195" s="12" t="n">
        <x:v>142.365</x:v>
      </x:c>
      <x:c r="P195" s="9" t="str">
        <x:v>Lead model-turn limit reached.</x:v>
      </x:c>
      <x:c r="Q195" s="9" t="str">
        <x:v>task_output-wsl/lite-baseline-001/instances/pylint-dev__pylint-7080/attempt-0001/state.json</x:v>
      </x:c>
      <x:c r="R195" s="2" t="n">
        <x:v>1</x:v>
      </x:c>
    </x:row>
    <x:row r="196" ht="44" customHeight="1">
      <x:c r="A196" s="2" t="str">
        <x:v>pylint-dev__pylint-7114</x:v>
      </x:c>
      <x:c r="B196" s="2" t="str">
        <x:v>pylint-dev/pylint</x:v>
      </x:c>
      <x:c r="C196" s="2" t="str">
        <x:v>attempt-0001</x:v>
      </x:c>
      <x:c r="D196" s="2" t="str">
        <x:v>unresolved</x:v>
      </x:c>
      <x:c r="E196" s="2" t="str">
        <x:v>finished</x:v>
      </x:c>
      <x:c r="F196" s="2" t="str">
        <x:v>limit</x:v>
      </x:c>
      <x:c r="G196" s="13" t="n">
        <x:v>1</x:v>
      </x:c>
      <x:c r="H196" s="13" t="n">
        <x:v>1</x:v>
      </x:c>
      <x:c r="I196" s="13" t="n">
        <x:v>1</x:v>
      </x:c>
      <x:c r="J196" s="2" t="str">
        <x:v>通过</x:v>
      </x:c>
      <x:c r="K196" s="2" t="str">
        <x:v>nonempty</x:v>
      </x:c>
      <x:c r="L196" s="2" t="str">
        <x:v>unresolved</x:v>
      </x:c>
      <x:c r="M196" s="11" t="n">
        <x:v>62</x:v>
      </x:c>
      <x:c r="N196" s="11" t="n">
        <x:v>690180</x:v>
      </x:c>
      <x:c r="O196" s="12" t="n">
        <x:v>158.899</x:v>
      </x:c>
      <x:c r="P196" s="9" t="str">
        <x:v>Lead model-turn limit reached.</x:v>
      </x:c>
      <x:c r="Q196" s="9" t="str">
        <x:v>task_output-wsl/lite-baseline-001/instances/pylint-dev__pylint-7114/attempt-0001/state.json</x:v>
      </x:c>
      <x:c r="R196" s="2" t="n">
        <x:v>1</x:v>
      </x:c>
    </x:row>
    <x:row r="197" ht="44" customHeight="1">
      <x:c r="A197" s="2" t="str">
        <x:v>pylint-dev__pylint-7228</x:v>
      </x:c>
      <x:c r="B197" s="2" t="str">
        <x:v>pylint-dev/pylint</x:v>
      </x:c>
      <x:c r="C197" s="2" t="str">
        <x:v>attempt-0001</x:v>
      </x:c>
      <x:c r="D197" s="2" t="str">
        <x:v>resolved</x:v>
      </x:c>
      <x:c r="E197" s="2" t="str">
        <x:v>finished</x:v>
      </x:c>
      <x:c r="F197" s="2" t="str">
        <x:v>completed</x:v>
      </x:c>
      <x:c r="G197" s="13" t="n">
        <x:v>1</x:v>
      </x:c>
      <x:c r="H197" s="13" t="n">
        <x:v>1</x:v>
      </x:c>
      <x:c r="I197" s="13" t="n">
        <x:v>1</x:v>
      </x:c>
      <x:c r="J197" s="2" t="str">
        <x:v>通过</x:v>
      </x:c>
      <x:c r="K197" s="2" t="str">
        <x:v>nonempty</x:v>
      </x:c>
      <x:c r="L197" s="2" t="str">
        <x:v>resolved</x:v>
      </x:c>
      <x:c r="M197" s="11" t="n">
        <x:v>39</x:v>
      </x:c>
      <x:c r="N197" s="11" t="n">
        <x:v>437458</x:v>
      </x:c>
      <x:c r="O197" s="12" t="n">
        <x:v>138.245</x:v>
      </x:c>
      <x:c r="P197" s="9" t="str"/>
      <x:c r="Q197" s="9" t="str">
        <x:v>task_output-wsl/lite-baseline-001/instances/pylint-dev__pylint-7228/attempt-0001/state.json</x:v>
      </x:c>
      <x:c r="R197" s="2" t="n">
        <x:v>1</x:v>
      </x:c>
    </x:row>
    <x:row r="198" ht="44" customHeight="1">
      <x:c r="A198" s="2" t="str">
        <x:v>pylint-dev__pylint-7993</x:v>
      </x:c>
      <x:c r="B198" s="2" t="str">
        <x:v>pylint-dev/pylint</x:v>
      </x:c>
      <x:c r="C198" s="2" t="str">
        <x:v>attempt-0001</x:v>
      </x:c>
      <x:c r="D198" s="2" t="str">
        <x:v>resolved</x:v>
      </x:c>
      <x:c r="E198" s="2" t="str">
        <x:v>finished</x:v>
      </x:c>
      <x:c r="F198" s="2" t="str">
        <x:v>completed</x:v>
      </x:c>
      <x:c r="G198" s="13" t="n">
        <x:v>1</x:v>
      </x:c>
      <x:c r="H198" s="13" t="n">
        <x:v>1</x:v>
      </x:c>
      <x:c r="I198" s="13" t="n">
        <x:v>1</x:v>
      </x:c>
      <x:c r="J198" s="2" t="str">
        <x:v>通过</x:v>
      </x:c>
      <x:c r="K198" s="2" t="str">
        <x:v>nonempty</x:v>
      </x:c>
      <x:c r="L198" s="2" t="str">
        <x:v>resolved</x:v>
      </x:c>
      <x:c r="M198" s="11" t="n">
        <x:v>36</x:v>
      </x:c>
      <x:c r="N198" s="11" t="n">
        <x:v>404028</x:v>
      </x:c>
      <x:c r="O198" s="12" t="n">
        <x:v>137.431</x:v>
      </x:c>
      <x:c r="P198" s="9" t="str"/>
      <x:c r="Q198" s="9" t="str">
        <x:v>task_output-wsl/lite-baseline-001/instances/pylint-dev__pylint-7993/attempt-0001/state.json</x:v>
      </x:c>
      <x:c r="R198" s="2" t="n">
        <x:v>1</x:v>
      </x:c>
    </x:row>
    <x:row r="199" ht="44" customHeight="1">
      <x:c r="A199" s="2" t="str">
        <x:v>pytest-dev__pytest-11143</x:v>
      </x:c>
      <x:c r="B199" s="2" t="str">
        <x:v>pytest-dev/pytest</x:v>
      </x:c>
      <x:c r="C199" s="2" t="str">
        <x:v>attempt-0001</x:v>
      </x:c>
      <x:c r="D199" s="2" t="str">
        <x:v>resolved</x:v>
      </x:c>
      <x:c r="E199" s="2" t="str">
        <x:v>finished</x:v>
      </x:c>
      <x:c r="F199" s="2" t="str">
        <x:v>completed</x:v>
      </x:c>
      <x:c r="G199" s="13" t="n">
        <x:v>1</x:v>
      </x:c>
      <x:c r="H199" s="13" t="n">
        <x:v>1</x:v>
      </x:c>
      <x:c r="I199" s="13" t="n">
        <x:v>1</x:v>
      </x:c>
      <x:c r="J199" s="2" t="str">
        <x:v>通过</x:v>
      </x:c>
      <x:c r="K199" s="2" t="str">
        <x:v>nonempty</x:v>
      </x:c>
      <x:c r="L199" s="2" t="str">
        <x:v>resolved</x:v>
      </x:c>
      <x:c r="M199" s="11" t="n">
        <x:v>12</x:v>
      </x:c>
      <x:c r="N199" s="11" t="n">
        <x:v>103444</x:v>
      </x:c>
      <x:c r="O199" s="12" t="n">
        <x:v>30.486</x:v>
      </x:c>
      <x:c r="P199" s="9" t="str"/>
      <x:c r="Q199" s="9" t="str">
        <x:v>task_output-wsl/lite-baseline-001/instances/pytest-dev__pytest-11143/attempt-0001/state.json</x:v>
      </x:c>
      <x:c r="R199" s="2" t="n">
        <x:v>1</x:v>
      </x:c>
    </x:row>
    <x:row r="200" ht="44" customHeight="1">
      <x:c r="A200" s="2" t="str">
        <x:v>pytest-dev__pytest-11148</x:v>
      </x:c>
      <x:c r="B200" s="2" t="str">
        <x:v>pytest-dev/pytest</x:v>
      </x:c>
      <x:c r="C200" s="2" t="str">
        <x:v>attempt-0001</x:v>
      </x:c>
      <x:c r="D200" s="2" t="str">
        <x:v>empty_patch</x:v>
      </x:c>
      <x:c r="E200" s="2" t="str">
        <x:v>finished</x:v>
      </x:c>
      <x:c r="F200" s="2" t="str">
        <x:v>completed</x:v>
      </x:c>
      <x:c r="G200" s="13" t="n">
        <x:v>1</x:v>
      </x:c>
      <x:c r="H200" s="13" t="n">
        <x:v>1</x:v>
      </x:c>
      <x:c r="I200" s="13" t="n">
        <x:v>1</x:v>
      </x:c>
      <x:c r="J200" s="2" t="str">
        <x:v>通过</x:v>
      </x:c>
      <x:c r="K200" s="2" t="str">
        <x:v>empty</x:v>
      </x:c>
      <x:c r="L200" s="2" t="str">
        <x:v>not_run</x:v>
      </x:c>
      <x:c r="M200" s="11" t="n">
        <x:v>36</x:v>
      </x:c>
      <x:c r="N200" s="11" t="n">
        <x:v>421994</x:v>
      </x:c>
      <x:c r="O200" s="12" t="n">
        <x:v>166.877</x:v>
      </x:c>
      <x:c r="P200" s="9" t="str">
        <x:v>Runner collected no working-tree changes.</x:v>
      </x:c>
      <x:c r="Q200" s="9" t="str">
        <x:v>task_output-wsl/lite-baseline-001/instances/pytest-dev__pytest-11148/attempt-0001/state.json</x:v>
      </x:c>
      <x:c r="R200" s="2" t="n">
        <x:v>1</x:v>
      </x:c>
    </x:row>
    <x:row r="201" ht="44" customHeight="1">
      <x:c r="A201" s="2" t="str">
        <x:v>pytest-dev__pytest-5103</x:v>
      </x:c>
      <x:c r="B201" s="2" t="str">
        <x:v>pytest-dev/pytest</x:v>
      </x:c>
      <x:c r="C201" s="2" t="str">
        <x:v>attempt-0001</x:v>
      </x:c>
      <x:c r="D201" s="2" t="str">
        <x:v>empty_patch</x:v>
      </x:c>
      <x:c r="E201" s="2" t="str">
        <x:v>finished</x:v>
      </x:c>
      <x:c r="F201" s="2" t="str">
        <x:v>limit</x:v>
      </x:c>
      <x:c r="G201" s="13" t="n">
        <x:v>1</x:v>
      </x:c>
      <x:c r="H201" s="13" t="n">
        <x:v>1</x:v>
      </x:c>
      <x:c r="I201" s="13" t="n">
        <x:v>1</x:v>
      </x:c>
      <x:c r="J201" s="2" t="str">
        <x:v>通过</x:v>
      </x:c>
      <x:c r="K201" s="2" t="str">
        <x:v>empty</x:v>
      </x:c>
      <x:c r="L201" s="2" t="str">
        <x:v>not_run</x:v>
      </x:c>
      <x:c r="M201" s="11" t="n">
        <x:v>62</x:v>
      </x:c>
      <x:c r="N201" s="11" t="n">
        <x:v>720748</x:v>
      </x:c>
      <x:c r="O201" s="12" t="n">
        <x:v>145.492</x:v>
      </x:c>
      <x:c r="P201" s="9" t="str">
        <x:v>Lead model-turn limit reached.</x:v>
      </x:c>
      <x:c r="Q201" s="9" t="str">
        <x:v>task_output-wsl/lite-baseline-001/instances/pytest-dev__pytest-5103/attempt-0001/state.json</x:v>
      </x:c>
      <x:c r="R201" s="2" t="n">
        <x:v>1</x:v>
      </x:c>
    </x:row>
    <x:row r="202" ht="44" customHeight="1">
      <x:c r="A202" s="2" t="str">
        <x:v>pytest-dev__pytest-5221</x:v>
      </x:c>
      <x:c r="B202" s="2" t="str">
        <x:v>pytest-dev/pytest</x:v>
      </x:c>
      <x:c r="C202" s="2" t="str">
        <x:v>attempt-0001</x:v>
      </x:c>
      <x:c r="D202" s="2" t="str">
        <x:v>resolved</x:v>
      </x:c>
      <x:c r="E202" s="2" t="str">
        <x:v>finished</x:v>
      </x:c>
      <x:c r="F202" s="2" t="str">
        <x:v>completed</x:v>
      </x:c>
      <x:c r="G202" s="13" t="n">
        <x:v>1</x:v>
      </x:c>
      <x:c r="H202" s="13" t="n">
        <x:v>1</x:v>
      </x:c>
      <x:c r="I202" s="13" t="n">
        <x:v>1</x:v>
      </x:c>
      <x:c r="J202" s="2" t="str">
        <x:v>通过</x:v>
      </x:c>
      <x:c r="K202" s="2" t="str">
        <x:v>nonempty</x:v>
      </x:c>
      <x:c r="L202" s="2" t="str">
        <x:v>resolved</x:v>
      </x:c>
      <x:c r="M202" s="11" t="n">
        <x:v>44</x:v>
      </x:c>
      <x:c r="N202" s="11" t="n">
        <x:v>460630</x:v>
      </x:c>
      <x:c r="O202" s="12" t="n">
        <x:v>149.928</x:v>
      </x:c>
      <x:c r="P202" s="9" t="str"/>
      <x:c r="Q202" s="9" t="str">
        <x:v>task_output-wsl/lite-baseline-001/instances/pytest-dev__pytest-5221/attempt-0001/state.json</x:v>
      </x:c>
      <x:c r="R202" s="2" t="n">
        <x:v>1</x:v>
      </x:c>
    </x:row>
    <x:row r="203" ht="44" customHeight="1">
      <x:c r="A203" s="2" t="str">
        <x:v>pytest-dev__pytest-5227</x:v>
      </x:c>
      <x:c r="B203" s="2" t="str">
        <x:v>pytest-dev/pytest</x:v>
      </x:c>
      <x:c r="C203" s="2" t="str">
        <x:v>attempt-0001</x:v>
      </x:c>
      <x:c r="D203" s="2" t="str">
        <x:v>resolved</x:v>
      </x:c>
      <x:c r="E203" s="2" t="str">
        <x:v>finished</x:v>
      </x:c>
      <x:c r="F203" s="2" t="str">
        <x:v>completed</x:v>
      </x:c>
      <x:c r="G203" s="13" t="n">
        <x:v>1</x:v>
      </x:c>
      <x:c r="H203" s="13" t="n">
        <x:v>1</x:v>
      </x:c>
      <x:c r="I203" s="13" t="n">
        <x:v>1</x:v>
      </x:c>
      <x:c r="J203" s="2" t="str">
        <x:v>通过</x:v>
      </x:c>
      <x:c r="K203" s="2" t="str">
        <x:v>nonempty</x:v>
      </x:c>
      <x:c r="L203" s="2" t="str">
        <x:v>resolved</x:v>
      </x:c>
      <x:c r="M203" s="11" t="n">
        <x:v>15</x:v>
      </x:c>
      <x:c r="N203" s="11" t="n">
        <x:v>148495</x:v>
      </x:c>
      <x:c r="O203" s="12" t="n">
        <x:v>38.85</x:v>
      </x:c>
      <x:c r="P203" s="9" t="str"/>
      <x:c r="Q203" s="9" t="str">
        <x:v>task_output-wsl/lite-baseline-001/instances/pytest-dev__pytest-5227/attempt-0001/state.json</x:v>
      </x:c>
      <x:c r="R203" s="2" t="n">
        <x:v>1</x:v>
      </x:c>
    </x:row>
    <x:row r="204" ht="44" customHeight="1">
      <x:c r="A204" s="2" t="str">
        <x:v>pytest-dev__pytest-5413</x:v>
      </x:c>
      <x:c r="B204" s="2" t="str">
        <x:v>pytest-dev/pytest</x:v>
      </x:c>
      <x:c r="C204" s="2" t="str">
        <x:v>attempt-0001</x:v>
      </x:c>
      <x:c r="D204" s="2" t="str">
        <x:v>unresolved</x:v>
      </x:c>
      <x:c r="E204" s="2" t="str">
        <x:v>finished</x:v>
      </x:c>
      <x:c r="F204" s="2" t="str">
        <x:v>completed</x:v>
      </x:c>
      <x:c r="G204" s="13" t="n">
        <x:v>1</x:v>
      </x:c>
      <x:c r="H204" s="13" t="n">
        <x:v>1</x:v>
      </x:c>
      <x:c r="I204" s="13" t="n">
        <x:v>1</x:v>
      </x:c>
      <x:c r="J204" s="2" t="str">
        <x:v>通过</x:v>
      </x:c>
      <x:c r="K204" s="2" t="str">
        <x:v>nonempty</x:v>
      </x:c>
      <x:c r="L204" s="2" t="str">
        <x:v>unresolved</x:v>
      </x:c>
      <x:c r="M204" s="11" t="n">
        <x:v>32</x:v>
      </x:c>
      <x:c r="N204" s="11" t="n">
        <x:v>344469</x:v>
      </x:c>
      <x:c r="O204" s="12" t="n">
        <x:v>84.913</x:v>
      </x:c>
      <x:c r="P204" s="9" t="str"/>
      <x:c r="Q204" s="9" t="str">
        <x:v>task_output-wsl/lite-baseline-001/instances/pytest-dev__pytest-5413/attempt-0001/state.json</x:v>
      </x:c>
      <x:c r="R204" s="2" t="n">
        <x:v>1</x:v>
      </x:c>
    </x:row>
    <x:row r="205" ht="44" customHeight="1">
      <x:c r="A205" s="2" t="str">
        <x:v>pytest-dev__pytest-5495</x:v>
      </x:c>
      <x:c r="B205" s="2" t="str">
        <x:v>pytest-dev/pytest</x:v>
      </x:c>
      <x:c r="C205" s="2" t="str">
        <x:v>attempt-0001</x:v>
      </x:c>
      <x:c r="D205" s="2" t="str">
        <x:v>resolved</x:v>
      </x:c>
      <x:c r="E205" s="2" t="str">
        <x:v>finished</x:v>
      </x:c>
      <x:c r="F205" s="2" t="str">
        <x:v>completed</x:v>
      </x:c>
      <x:c r="G205" s="13" t="n">
        <x:v>1</x:v>
      </x:c>
      <x:c r="H205" s="13" t="n">
        <x:v>1</x:v>
      </x:c>
      <x:c r="I205" s="13" t="n">
        <x:v>1</x:v>
      </x:c>
      <x:c r="J205" s="2" t="str">
        <x:v>通过</x:v>
      </x:c>
      <x:c r="K205" s="2" t="str">
        <x:v>nonempty</x:v>
      </x:c>
      <x:c r="L205" s="2" t="str">
        <x:v>resolved</x:v>
      </x:c>
      <x:c r="M205" s="11" t="n">
        <x:v>41</x:v>
      </x:c>
      <x:c r="N205" s="11" t="n">
        <x:v>422997</x:v>
      </x:c>
      <x:c r="O205" s="12" t="n">
        <x:v>85.143</x:v>
      </x:c>
      <x:c r="P205" s="9" t="str"/>
      <x:c r="Q205" s="9" t="str">
        <x:v>task_output-wsl/lite-baseline-001/instances/pytest-dev__pytest-5495/attempt-0001/state.json</x:v>
      </x:c>
      <x:c r="R205" s="2" t="n">
        <x:v>1</x:v>
      </x:c>
    </x:row>
    <x:row r="206" ht="44" customHeight="1">
      <x:c r="A206" s="2" t="str">
        <x:v>pytest-dev__pytest-5692</x:v>
      </x:c>
      <x:c r="B206" s="2" t="str">
        <x:v>pytest-dev/pytest</x:v>
      </x:c>
      <x:c r="C206" s="2" t="str">
        <x:v>attempt-0001</x:v>
      </x:c>
      <x:c r="D206" s="2" t="str">
        <x:v>resolved</x:v>
      </x:c>
      <x:c r="E206" s="2" t="str">
        <x:v>finished</x:v>
      </x:c>
      <x:c r="F206" s="2" t="str">
        <x:v>completed</x:v>
      </x:c>
      <x:c r="G206" s="13" t="n">
        <x:v>1</x:v>
      </x:c>
      <x:c r="H206" s="13" t="n">
        <x:v>1</x:v>
      </x:c>
      <x:c r="I206" s="13" t="n">
        <x:v>1</x:v>
      </x:c>
      <x:c r="J206" s="2" t="str">
        <x:v>通过</x:v>
      </x:c>
      <x:c r="K206" s="2" t="str">
        <x:v>nonempty</x:v>
      </x:c>
      <x:c r="L206" s="2" t="str">
        <x:v>resolved</x:v>
      </x:c>
      <x:c r="M206" s="11" t="n">
        <x:v>17</x:v>
      </x:c>
      <x:c r="N206" s="11" t="n">
        <x:v>158095</x:v>
      </x:c>
      <x:c r="O206" s="12" t="n">
        <x:v>33.001</x:v>
      </x:c>
      <x:c r="P206" s="9" t="str"/>
      <x:c r="Q206" s="9" t="str">
        <x:v>task_output-wsl/lite-baseline-001/instances/pytest-dev__pytest-5692/attempt-0001/state.json</x:v>
      </x:c>
      <x:c r="R206" s="2" t="n">
        <x:v>1</x:v>
      </x:c>
    </x:row>
    <x:row r="207" ht="44" customHeight="1">
      <x:c r="A207" s="2" t="str">
        <x:v>pytest-dev__pytest-6116</x:v>
      </x:c>
      <x:c r="B207" s="2" t="str">
        <x:v>pytest-dev/pytest</x:v>
      </x:c>
      <x:c r="C207" s="2" t="str">
        <x:v>attempt-0001</x:v>
      </x:c>
      <x:c r="D207" s="2" t="str">
        <x:v>resolved</x:v>
      </x:c>
      <x:c r="E207" s="2" t="str">
        <x:v>finished</x:v>
      </x:c>
      <x:c r="F207" s="2" t="str">
        <x:v>completed</x:v>
      </x:c>
      <x:c r="G207" s="13" t="n">
        <x:v>1</x:v>
      </x:c>
      <x:c r="H207" s="13" t="n">
        <x:v>1</x:v>
      </x:c>
      <x:c r="I207" s="13" t="n">
        <x:v>1</x:v>
      </x:c>
      <x:c r="J207" s="2" t="str">
        <x:v>通过</x:v>
      </x:c>
      <x:c r="K207" s="2" t="str">
        <x:v>nonempty</x:v>
      </x:c>
      <x:c r="L207" s="2" t="str">
        <x:v>resolved</x:v>
      </x:c>
      <x:c r="M207" s="11" t="n">
        <x:v>7</x:v>
      </x:c>
      <x:c r="N207" s="11" t="n">
        <x:v>31814</x:v>
      </x:c>
      <x:c r="O207" s="12" t="n">
        <x:v>12.26</x:v>
      </x:c>
      <x:c r="P207" s="9" t="str"/>
      <x:c r="Q207" s="9" t="str">
        <x:v>task_output-wsl/lite-baseline-001/instances/pytest-dev__pytest-6116/attempt-0001/state.json</x:v>
      </x:c>
      <x:c r="R207" s="2" t="n">
        <x:v>1</x:v>
      </x:c>
    </x:row>
    <x:row r="208" ht="44" customHeight="1">
      <x:c r="A208" s="2" t="str">
        <x:v>pytest-dev__pytest-7168</x:v>
      </x:c>
      <x:c r="B208" s="2" t="str">
        <x:v>pytest-dev/pytest</x:v>
      </x:c>
      <x:c r="C208" s="2" t="str">
        <x:v>attempt-0001</x:v>
      </x:c>
      <x:c r="D208" s="2" t="str">
        <x:v>unresolved</x:v>
      </x:c>
      <x:c r="E208" s="2" t="str">
        <x:v>finished</x:v>
      </x:c>
      <x:c r="F208" s="2" t="str">
        <x:v>completed</x:v>
      </x:c>
      <x:c r="G208" s="13" t="n">
        <x:v>1</x:v>
      </x:c>
      <x:c r="H208" s="13" t="n">
        <x:v>1</x:v>
      </x:c>
      <x:c r="I208" s="13" t="n">
        <x:v>1</x:v>
      </x:c>
      <x:c r="J208" s="2" t="str">
        <x:v>通过</x:v>
      </x:c>
      <x:c r="K208" s="2" t="str">
        <x:v>nonempty</x:v>
      </x:c>
      <x:c r="L208" s="2" t="str">
        <x:v>unresolved</x:v>
      </x:c>
      <x:c r="M208" s="11" t="n">
        <x:v>21</x:v>
      </x:c>
      <x:c r="N208" s="11" t="n">
        <x:v>238581</x:v>
      </x:c>
      <x:c r="O208" s="12" t="n">
        <x:v>61.986</x:v>
      </x:c>
      <x:c r="P208" s="9" t="str"/>
      <x:c r="Q208" s="9" t="str">
        <x:v>task_output-wsl/lite-baseline-001/instances/pytest-dev__pytest-7168/attempt-0001/state.json</x:v>
      </x:c>
      <x:c r="R208" s="2" t="n">
        <x:v>1</x:v>
      </x:c>
    </x:row>
    <x:row r="209" ht="44" customHeight="1">
      <x:c r="A209" s="2" t="str">
        <x:v>pytest-dev__pytest-7220</x:v>
      </x:c>
      <x:c r="B209" s="2" t="str">
        <x:v>pytest-dev/pytest</x:v>
      </x:c>
      <x:c r="C209" s="2" t="str">
        <x:v>attempt-0001</x:v>
      </x:c>
      <x:c r="D209" s="2" t="str">
        <x:v>empty_patch</x:v>
      </x:c>
      <x:c r="E209" s="2" t="str">
        <x:v>finished</x:v>
      </x:c>
      <x:c r="F209" s="2" t="str">
        <x:v>limit</x:v>
      </x:c>
      <x:c r="G209" s="13" t="n">
        <x:v>1</x:v>
      </x:c>
      <x:c r="H209" s="13" t="n">
        <x:v>1</x:v>
      </x:c>
      <x:c r="I209" s="13" t="n">
        <x:v>1</x:v>
      </x:c>
      <x:c r="J209" s="2" t="str">
        <x:v>通过</x:v>
      </x:c>
      <x:c r="K209" s="2" t="str">
        <x:v>empty</x:v>
      </x:c>
      <x:c r="L209" s="2" t="str">
        <x:v>not_run</x:v>
      </x:c>
      <x:c r="M209" s="11" t="n">
        <x:v>62</x:v>
      </x:c>
      <x:c r="N209" s="11" t="n">
        <x:v>728159</x:v>
      </x:c>
      <x:c r="O209" s="12" t="n">
        <x:v>118.567</x:v>
      </x:c>
      <x:c r="P209" s="9" t="str">
        <x:v>Lead model-turn limit reached.</x:v>
      </x:c>
      <x:c r="Q209" s="9" t="str">
        <x:v>task_output-wsl/lite-baseline-001/instances/pytest-dev__pytest-7220/attempt-0001/state.json</x:v>
      </x:c>
      <x:c r="R209" s="2" t="n">
        <x:v>1</x:v>
      </x:c>
    </x:row>
    <x:row r="210" ht="44" customHeight="1">
      <x:c r="A210" s="2" t="str">
        <x:v>pytest-dev__pytest-7373</x:v>
      </x:c>
      <x:c r="B210" s="2" t="str">
        <x:v>pytest-dev/pytest</x:v>
      </x:c>
      <x:c r="C210" s="2" t="str">
        <x:v>attempt-0001</x:v>
      </x:c>
      <x:c r="D210" s="2" t="str">
        <x:v>resolved</x:v>
      </x:c>
      <x:c r="E210" s="2" t="str">
        <x:v>finished</x:v>
      </x:c>
      <x:c r="F210" s="2" t="str">
        <x:v>completed</x:v>
      </x:c>
      <x:c r="G210" s="13" t="n">
        <x:v>1</x:v>
      </x:c>
      <x:c r="H210" s="13" t="n">
        <x:v>1</x:v>
      </x:c>
      <x:c r="I210" s="13" t="n">
        <x:v>1</x:v>
      </x:c>
      <x:c r="J210" s="2" t="str">
        <x:v>通过</x:v>
      </x:c>
      <x:c r="K210" s="2" t="str">
        <x:v>nonempty</x:v>
      </x:c>
      <x:c r="L210" s="2" t="str">
        <x:v>resolved</x:v>
      </x:c>
      <x:c r="M210" s="11" t="n">
        <x:v>12</x:v>
      </x:c>
      <x:c r="N210" s="11" t="n">
        <x:v>68119</x:v>
      </x:c>
      <x:c r="O210" s="12" t="n">
        <x:v>25.388</x:v>
      </x:c>
      <x:c r="P210" s="9" t="str"/>
      <x:c r="Q210" s="9" t="str">
        <x:v>task_output-wsl/lite-baseline-001/instances/pytest-dev__pytest-7373/attempt-0001/state.json</x:v>
      </x:c>
      <x:c r="R210" s="2" t="n">
        <x:v>1</x:v>
      </x:c>
    </x:row>
    <x:row r="211" ht="44" customHeight="1">
      <x:c r="A211" s="2" t="str">
        <x:v>pytest-dev__pytest-7432</x:v>
      </x:c>
      <x:c r="B211" s="2" t="str">
        <x:v>pytest-dev/pytest</x:v>
      </x:c>
      <x:c r="C211" s="2" t="str">
        <x:v>attempt-0001</x:v>
      </x:c>
      <x:c r="D211" s="2" t="str">
        <x:v>resolved</x:v>
      </x:c>
      <x:c r="E211" s="2" t="str">
        <x:v>finished</x:v>
      </x:c>
      <x:c r="F211" s="2" t="str">
        <x:v>completed</x:v>
      </x:c>
      <x:c r="G211" s="13" t="n">
        <x:v>1</x:v>
      </x:c>
      <x:c r="H211" s="13" t="n">
        <x:v>1</x:v>
      </x:c>
      <x:c r="I211" s="13" t="n">
        <x:v>1</x:v>
      </x:c>
      <x:c r="J211" s="2" t="str">
        <x:v>通过</x:v>
      </x:c>
      <x:c r="K211" s="2" t="str">
        <x:v>nonempty</x:v>
      </x:c>
      <x:c r="L211" s="2" t="str">
        <x:v>resolved</x:v>
      </x:c>
      <x:c r="M211" s="11" t="n">
        <x:v>19</x:v>
      </x:c>
      <x:c r="N211" s="11" t="n">
        <x:v>192405</x:v>
      </x:c>
      <x:c r="O211" s="12" t="n">
        <x:v>53.294</x:v>
      </x:c>
      <x:c r="P211" s="9" t="str"/>
      <x:c r="Q211" s="9" t="str">
        <x:v>task_output-wsl/lite-baseline-001/instances/pytest-dev__pytest-7432/attempt-0001/state.json</x:v>
      </x:c>
      <x:c r="R211" s="2" t="n">
        <x:v>1</x:v>
      </x:c>
    </x:row>
    <x:row r="212" ht="44" customHeight="1">
      <x:c r="A212" s="2" t="str">
        <x:v>pytest-dev__pytest-7490</x:v>
      </x:c>
      <x:c r="B212" s="2" t="str">
        <x:v>pytest-dev/pytest</x:v>
      </x:c>
      <x:c r="C212" s="2" t="str">
        <x:v>attempt-0001</x:v>
      </x:c>
      <x:c r="D212" s="2" t="str">
        <x:v>resolved</x:v>
      </x:c>
      <x:c r="E212" s="2" t="str">
        <x:v>finished</x:v>
      </x:c>
      <x:c r="F212" s="2" t="str">
        <x:v>limit</x:v>
      </x:c>
      <x:c r="G212" s="13" t="n">
        <x:v>1</x:v>
      </x:c>
      <x:c r="H212" s="13" t="n">
        <x:v>1</x:v>
      </x:c>
      <x:c r="I212" s="13" t="n">
        <x:v>1</x:v>
      </x:c>
      <x:c r="J212" s="2" t="str">
        <x:v>通过</x:v>
      </x:c>
      <x:c r="K212" s="2" t="str">
        <x:v>nonempty</x:v>
      </x:c>
      <x:c r="L212" s="2" t="str">
        <x:v>resolved</x:v>
      </x:c>
      <x:c r="M212" s="11" t="n">
        <x:v>65</x:v>
      </x:c>
      <x:c r="N212" s="11" t="n">
        <x:v>731885</x:v>
      </x:c>
      <x:c r="O212" s="12" t="n">
        <x:v>201.305</x:v>
      </x:c>
      <x:c r="P212" s="9" t="str">
        <x:v>Lead model-turn limit reached.</x:v>
      </x:c>
      <x:c r="Q212" s="9" t="str">
        <x:v>task_output-wsl/lite-baseline-001/instances/pytest-dev__pytest-7490/attempt-0001/state.json</x:v>
      </x:c>
      <x:c r="R212" s="2" t="n">
        <x:v>1</x:v>
      </x:c>
    </x:row>
    <x:row r="213" ht="44" customHeight="1">
      <x:c r="A213" s="2" t="str">
        <x:v>pytest-dev__pytest-8365</x:v>
      </x:c>
      <x:c r="B213" s="2" t="str">
        <x:v>pytest-dev/pytest</x:v>
      </x:c>
      <x:c r="C213" s="2" t="str">
        <x:v>attempt-0001</x:v>
      </x:c>
      <x:c r="D213" s="2" t="str">
        <x:v>resolved</x:v>
      </x:c>
      <x:c r="E213" s="2" t="str">
        <x:v>finished</x:v>
      </x:c>
      <x:c r="F213" s="2" t="str">
        <x:v>completed</x:v>
      </x:c>
      <x:c r="G213" s="13" t="n">
        <x:v>1</x:v>
      </x:c>
      <x:c r="H213" s="13" t="n">
        <x:v>1</x:v>
      </x:c>
      <x:c r="I213" s="13" t="n">
        <x:v>1</x:v>
      </x:c>
      <x:c r="J213" s="2" t="str">
        <x:v>通过</x:v>
      </x:c>
      <x:c r="K213" s="2" t="str">
        <x:v>nonempty</x:v>
      </x:c>
      <x:c r="L213" s="2" t="str">
        <x:v>resolved</x:v>
      </x:c>
      <x:c r="M213" s="11" t="n">
        <x:v>18</x:v>
      </x:c>
      <x:c r="N213" s="11" t="n">
        <x:v>194286</x:v>
      </x:c>
      <x:c r="O213" s="12" t="n">
        <x:v>54.78</x:v>
      </x:c>
      <x:c r="P213" s="9" t="str"/>
      <x:c r="Q213" s="9" t="str">
        <x:v>task_output-wsl/lite-baseline-001/instances/pytest-dev__pytest-8365/attempt-0001/state.json</x:v>
      </x:c>
      <x:c r="R213" s="2" t="n">
        <x:v>1</x:v>
      </x:c>
    </x:row>
    <x:row r="214" ht="44" customHeight="1">
      <x:c r="A214" s="2" t="str">
        <x:v>pytest-dev__pytest-8906</x:v>
      </x:c>
      <x:c r="B214" s="2" t="str">
        <x:v>pytest-dev/pytest</x:v>
      </x:c>
      <x:c r="C214" s="2" t="str">
        <x:v>attempt-0001</x:v>
      </x:c>
      <x:c r="D214" s="2" t="str">
        <x:v>resolved</x:v>
      </x:c>
      <x:c r="E214" s="2" t="str">
        <x:v>finished</x:v>
      </x:c>
      <x:c r="F214" s="2" t="str">
        <x:v>completed</x:v>
      </x:c>
      <x:c r="G214" s="13" t="n">
        <x:v>1</x:v>
      </x:c>
      <x:c r="H214" s="13" t="n">
        <x:v>1</x:v>
      </x:c>
      <x:c r="I214" s="13" t="n">
        <x:v>1</x:v>
      </x:c>
      <x:c r="J214" s="2" t="str">
        <x:v>通过</x:v>
      </x:c>
      <x:c r="K214" s="2" t="str">
        <x:v>nonempty</x:v>
      </x:c>
      <x:c r="L214" s="2" t="str">
        <x:v>resolved</x:v>
      </x:c>
      <x:c r="M214" s="11" t="n">
        <x:v>21</x:v>
      </x:c>
      <x:c r="N214" s="11" t="n">
        <x:v>232226</x:v>
      </x:c>
      <x:c r="O214" s="12" t="n">
        <x:v>78.029</x:v>
      </x:c>
      <x:c r="P214" s="9" t="str"/>
      <x:c r="Q214" s="9" t="str">
        <x:v>task_output-wsl/lite-baseline-001/instances/pytest-dev__pytest-8906/attempt-0001/state.json</x:v>
      </x:c>
      <x:c r="R214" s="2" t="n">
        <x:v>1</x:v>
      </x:c>
    </x:row>
    <x:row r="215" ht="44" customHeight="1">
      <x:c r="A215" s="2" t="str">
        <x:v>pytest-dev__pytest-9359</x:v>
      </x:c>
      <x:c r="B215" s="2" t="str">
        <x:v>pytest-dev/pytest</x:v>
      </x:c>
      <x:c r="C215" s="2" t="str">
        <x:v>attempt-0001</x:v>
      </x:c>
      <x:c r="D215" s="2" t="str">
        <x:v>resolved</x:v>
      </x:c>
      <x:c r="E215" s="2" t="str">
        <x:v>finished</x:v>
      </x:c>
      <x:c r="F215" s="2" t="str">
        <x:v>completed</x:v>
      </x:c>
      <x:c r="G215" s="13" t="n">
        <x:v>1</x:v>
      </x:c>
      <x:c r="H215" s="13" t="n">
        <x:v>1</x:v>
      </x:c>
      <x:c r="I215" s="13" t="n">
        <x:v>1</x:v>
      </x:c>
      <x:c r="J215" s="2" t="str">
        <x:v>通过</x:v>
      </x:c>
      <x:c r="K215" s="2" t="str">
        <x:v>nonempty</x:v>
      </x:c>
      <x:c r="L215" s="2" t="str">
        <x:v>resolved</x:v>
      </x:c>
      <x:c r="M215" s="11" t="n">
        <x:v>32</x:v>
      </x:c>
      <x:c r="N215" s="11" t="n">
        <x:v>346357</x:v>
      </x:c>
      <x:c r="O215" s="12" t="n">
        <x:v>89.056</x:v>
      </x:c>
      <x:c r="P215" s="9" t="str"/>
      <x:c r="Q215" s="9" t="str">
        <x:v>task_output-wsl/lite-baseline-001/instances/pytest-dev__pytest-9359/attempt-0001/state.json</x:v>
      </x:c>
      <x:c r="R215" s="2" t="n">
        <x:v>1</x:v>
      </x:c>
    </x:row>
    <x:row r="216" ht="44" customHeight="1">
      <x:c r="A216" s="2" t="str">
        <x:v>scikit-learn__scikit-learn-10297</x:v>
      </x:c>
      <x:c r="B216" s="2" t="str">
        <x:v>scikit-learn/scikit-learn</x:v>
      </x:c>
      <x:c r="C216" s="2" t="str">
        <x:v>attempt-0001</x:v>
      </x:c>
      <x:c r="D216" s="2" t="str">
        <x:v>resolved</x:v>
      </x:c>
      <x:c r="E216" s="2" t="str">
        <x:v>finished</x:v>
      </x:c>
      <x:c r="F216" s="2" t="str">
        <x:v>completed</x:v>
      </x:c>
      <x:c r="G216" s="13" t="n">
        <x:v>1</x:v>
      </x:c>
      <x:c r="H216" s="13" t="n">
        <x:v>1</x:v>
      </x:c>
      <x:c r="I216" s="13" t="n">
        <x:v>1</x:v>
      </x:c>
      <x:c r="J216" s="2" t="str">
        <x:v>通过</x:v>
      </x:c>
      <x:c r="K216" s="2" t="str">
        <x:v>nonempty</x:v>
      </x:c>
      <x:c r="L216" s="2" t="str">
        <x:v>resolved</x:v>
      </x:c>
      <x:c r="M216" s="11" t="n">
        <x:v>17</x:v>
      </x:c>
      <x:c r="N216" s="11" t="n">
        <x:v>188254</x:v>
      </x:c>
      <x:c r="O216" s="12" t="n">
        <x:v>47.783</x:v>
      </x:c>
      <x:c r="P216" s="9" t="str"/>
      <x:c r="Q216" s="9" t="str">
        <x:v>task_output-wsl/lite-baseline-001/instances/scikit-learn__scikit-learn-10297/attempt-0001/state.json</x:v>
      </x:c>
      <x:c r="R216" s="2" t="n">
        <x:v>1</x:v>
      </x:c>
    </x:row>
    <x:row r="217" ht="44" customHeight="1">
      <x:c r="A217" s="2" t="str">
        <x:v>scikit-learn__scikit-learn-10508</x:v>
      </x:c>
      <x:c r="B217" s="2" t="str">
        <x:v>scikit-learn/scikit-learn</x:v>
      </x:c>
      <x:c r="C217" s="2" t="str">
        <x:v>attempt-0001</x:v>
      </x:c>
      <x:c r="D217" s="2" t="str">
        <x:v>resolved</x:v>
      </x:c>
      <x:c r="E217" s="2" t="str">
        <x:v>finished</x:v>
      </x:c>
      <x:c r="F217" s="2" t="str">
        <x:v>completed</x:v>
      </x:c>
      <x:c r="G217" s="13" t="n">
        <x:v>1</x:v>
      </x:c>
      <x:c r="H217" s="13" t="n">
        <x:v>1</x:v>
      </x:c>
      <x:c r="I217" s="13" t="n">
        <x:v>1</x:v>
      </x:c>
      <x:c r="J217" s="2" t="str">
        <x:v>通过</x:v>
      </x:c>
      <x:c r="K217" s="2" t="str">
        <x:v>nonempty</x:v>
      </x:c>
      <x:c r="L217" s="2" t="str">
        <x:v>resolved</x:v>
      </x:c>
      <x:c r="M217" s="11" t="n">
        <x:v>9</x:v>
      </x:c>
      <x:c r="N217" s="11" t="n">
        <x:v>90541</x:v>
      </x:c>
      <x:c r="O217" s="12" t="n">
        <x:v>26.735</x:v>
      </x:c>
      <x:c r="P217" s="9" t="str"/>
      <x:c r="Q217" s="9" t="str">
        <x:v>task_output-wsl/lite-baseline-001/instances/scikit-learn__scikit-learn-10508/attempt-0001/state.json</x:v>
      </x:c>
      <x:c r="R217" s="2" t="n">
        <x:v>1</x:v>
      </x:c>
    </x:row>
    <x:row r="218" ht="44" customHeight="1">
      <x:c r="A218" s="2" t="str">
        <x:v>scikit-learn__scikit-learn-10949</x:v>
      </x:c>
      <x:c r="B218" s="2" t="str">
        <x:v>scikit-learn/scikit-learn</x:v>
      </x:c>
      <x:c r="C218" s="2" t="str">
        <x:v>attempt-0001</x:v>
      </x:c>
      <x:c r="D218" s="2" t="str">
        <x:v>unresolved</x:v>
      </x:c>
      <x:c r="E218" s="2" t="str">
        <x:v>finished</x:v>
      </x:c>
      <x:c r="F218" s="2" t="str">
        <x:v>completed</x:v>
      </x:c>
      <x:c r="G218" s="13" t="n">
        <x:v>1</x:v>
      </x:c>
      <x:c r="H218" s="13" t="n">
        <x:v>1</x:v>
      </x:c>
      <x:c r="I218" s="13" t="n">
        <x:v>1</x:v>
      </x:c>
      <x:c r="J218" s="2" t="str">
        <x:v>通过</x:v>
      </x:c>
      <x:c r="K218" s="2" t="str">
        <x:v>nonempty</x:v>
      </x:c>
      <x:c r="L218" s="2" t="str">
        <x:v>unresolved</x:v>
      </x:c>
      <x:c r="M218" s="11" t="n">
        <x:v>21</x:v>
      </x:c>
      <x:c r="N218" s="11" t="n">
        <x:v>212642</x:v>
      </x:c>
      <x:c r="O218" s="12" t="n">
        <x:v>47.257</x:v>
      </x:c>
      <x:c r="P218" s="9" t="str"/>
      <x:c r="Q218" s="9" t="str">
        <x:v>task_output-wsl/lite-baseline-001/instances/scikit-learn__scikit-learn-10949/attempt-0001/state.json</x:v>
      </x:c>
      <x:c r="R218" s="2" t="n">
        <x:v>1</x:v>
      </x:c>
    </x:row>
    <x:row r="219" ht="44" customHeight="1">
      <x:c r="A219" s="2" t="str">
        <x:v>scikit-learn__scikit-learn-11040</x:v>
      </x:c>
      <x:c r="B219" s="2" t="str">
        <x:v>scikit-learn/scikit-learn</x:v>
      </x:c>
      <x:c r="C219" s="2" t="str">
        <x:v>attempt-0001</x:v>
      </x:c>
      <x:c r="D219" s="2" t="str">
        <x:v>unresolved</x:v>
      </x:c>
      <x:c r="E219" s="2" t="str">
        <x:v>finished</x:v>
      </x:c>
      <x:c r="F219" s="2" t="str">
        <x:v>completed</x:v>
      </x:c>
      <x:c r="G219" s="13" t="n">
        <x:v>1</x:v>
      </x:c>
      <x:c r="H219" s="13" t="n">
        <x:v>1</x:v>
      </x:c>
      <x:c r="I219" s="13" t="n">
        <x:v>1</x:v>
      </x:c>
      <x:c r="J219" s="2" t="str">
        <x:v>通过</x:v>
      </x:c>
      <x:c r="K219" s="2" t="str">
        <x:v>nonempty</x:v>
      </x:c>
      <x:c r="L219" s="2" t="str">
        <x:v>unresolved</x:v>
      </x:c>
      <x:c r="M219" s="11" t="n">
        <x:v>37</x:v>
      </x:c>
      <x:c r="N219" s="11" t="n">
        <x:v>367439</x:v>
      </x:c>
      <x:c r="O219" s="12" t="n">
        <x:v>139.709</x:v>
      </x:c>
      <x:c r="P219" s="9" t="str"/>
      <x:c r="Q219" s="9" t="str">
        <x:v>task_output-wsl/lite-baseline-001/instances/scikit-learn__scikit-learn-11040/attempt-0001/state.json</x:v>
      </x:c>
      <x:c r="R219" s="2" t="n">
        <x:v>1</x:v>
      </x:c>
    </x:row>
    <x:row r="220" ht="44" customHeight="1">
      <x:c r="A220" s="2" t="str">
        <x:v>scikit-learn__scikit-learn-11281</x:v>
      </x:c>
      <x:c r="B220" s="2" t="str">
        <x:v>scikit-learn/scikit-learn</x:v>
      </x:c>
      <x:c r="C220" s="2" t="str">
        <x:v>attempt-0001</x:v>
      </x:c>
      <x:c r="D220" s="2" t="str">
        <x:v>resolved</x:v>
      </x:c>
      <x:c r="E220" s="2" t="str">
        <x:v>finished</x:v>
      </x:c>
      <x:c r="F220" s="2" t="str">
        <x:v>completed</x:v>
      </x:c>
      <x:c r="G220" s="13" t="n">
        <x:v>1</x:v>
      </x:c>
      <x:c r="H220" s="13" t="n">
        <x:v>1</x:v>
      </x:c>
      <x:c r="I220" s="13" t="n">
        <x:v>1</x:v>
      </x:c>
      <x:c r="J220" s="2" t="str">
        <x:v>通过</x:v>
      </x:c>
      <x:c r="K220" s="2" t="str">
        <x:v>nonempty</x:v>
      </x:c>
      <x:c r="L220" s="2" t="str">
        <x:v>resolved</x:v>
      </x:c>
      <x:c r="M220" s="11" t="n">
        <x:v>28</x:v>
      </x:c>
      <x:c r="N220" s="11" t="n">
        <x:v>309791</x:v>
      </x:c>
      <x:c r="O220" s="12" t="n">
        <x:v>79.783</x:v>
      </x:c>
      <x:c r="P220" s="9" t="str"/>
      <x:c r="Q220" s="9" t="str">
        <x:v>task_output-wsl/lite-baseline-001/instances/scikit-learn__scikit-learn-11281/attempt-0001/state.json</x:v>
      </x:c>
      <x:c r="R220" s="2" t="n">
        <x:v>1</x:v>
      </x:c>
    </x:row>
    <x:row r="221" ht="44" customHeight="1">
      <x:c r="A221" s="2" t="str">
        <x:v>scikit-learn__scikit-learn-12471</x:v>
      </x:c>
      <x:c r="B221" s="2" t="str">
        <x:v>scikit-learn/scikit-learn</x:v>
      </x:c>
      <x:c r="C221" s="2" t="str">
        <x:v>attempt-0001</x:v>
      </x:c>
      <x:c r="D221" s="2" t="str">
        <x:v>resolved</x:v>
      </x:c>
      <x:c r="E221" s="2" t="str">
        <x:v>finished</x:v>
      </x:c>
      <x:c r="F221" s="2" t="str">
        <x:v>completed</x:v>
      </x:c>
      <x:c r="G221" s="13" t="n">
        <x:v>1</x:v>
      </x:c>
      <x:c r="H221" s="13" t="n">
        <x:v>1</x:v>
      </x:c>
      <x:c r="I221" s="13" t="n">
        <x:v>1</x:v>
      </x:c>
      <x:c r="J221" s="2" t="str">
        <x:v>通过</x:v>
      </x:c>
      <x:c r="K221" s="2" t="str">
        <x:v>nonempty</x:v>
      </x:c>
      <x:c r="L221" s="2" t="str">
        <x:v>resolved</x:v>
      </x:c>
      <x:c r="M221" s="11" t="n">
        <x:v>15</x:v>
      </x:c>
      <x:c r="N221" s="11" t="n">
        <x:v>137782</x:v>
      </x:c>
      <x:c r="O221" s="12" t="n">
        <x:v>37.865</x:v>
      </x:c>
      <x:c r="P221" s="9" t="str"/>
      <x:c r="Q221" s="9" t="str">
        <x:v>task_output-wsl/lite-baseline-001/instances/scikit-learn__scikit-learn-12471/attempt-0001/state.json</x:v>
      </x:c>
      <x:c r="R221" s="2" t="n">
        <x:v>1</x:v>
      </x:c>
    </x:row>
    <x:row r="222" ht="44" customHeight="1">
      <x:c r="A222" s="2" t="str">
        <x:v>scikit-learn__scikit-learn-13142</x:v>
      </x:c>
      <x:c r="B222" s="2" t="str">
        <x:v>scikit-learn/scikit-learn</x:v>
      </x:c>
      <x:c r="C222" s="2" t="str">
        <x:v>attempt-0001</x:v>
      </x:c>
      <x:c r="D222" s="2" t="str">
        <x:v>resolved</x:v>
      </x:c>
      <x:c r="E222" s="2" t="str">
        <x:v>finished</x:v>
      </x:c>
      <x:c r="F222" s="2" t="str">
        <x:v>completed</x:v>
      </x:c>
      <x:c r="G222" s="13" t="n">
        <x:v>1</x:v>
      </x:c>
      <x:c r="H222" s="13" t="n">
        <x:v>1</x:v>
      </x:c>
      <x:c r="I222" s="13" t="n">
        <x:v>1</x:v>
      </x:c>
      <x:c r="J222" s="2" t="str">
        <x:v>通过</x:v>
      </x:c>
      <x:c r="K222" s="2" t="str">
        <x:v>nonempty</x:v>
      </x:c>
      <x:c r="L222" s="2" t="str">
        <x:v>resolved</x:v>
      </x:c>
      <x:c r="M222" s="11" t="n">
        <x:v>9</x:v>
      </x:c>
      <x:c r="N222" s="11" t="n">
        <x:v>79719</x:v>
      </x:c>
      <x:c r="O222" s="12" t="n">
        <x:v>24.253</x:v>
      </x:c>
      <x:c r="P222" s="9" t="str"/>
      <x:c r="Q222" s="9" t="str">
        <x:v>task_output-wsl/lite-baseline-001/instances/scikit-learn__scikit-learn-13142/attempt-0001/state.json</x:v>
      </x:c>
      <x:c r="R222" s="2" t="n">
        <x:v>1</x:v>
      </x:c>
    </x:row>
    <x:row r="223" ht="44" customHeight="1">
      <x:c r="A223" s="2" t="str">
        <x:v>scikit-learn__scikit-learn-13241</x:v>
      </x:c>
      <x:c r="B223" s="2" t="str">
        <x:v>scikit-learn/scikit-learn</x:v>
      </x:c>
      <x:c r="C223" s="2" t="str">
        <x:v>attempt-0001</x:v>
      </x:c>
      <x:c r="D223" s="2" t="str">
        <x:v>resolved</x:v>
      </x:c>
      <x:c r="E223" s="2" t="str">
        <x:v>finished</x:v>
      </x:c>
      <x:c r="F223" s="2" t="str">
        <x:v>completed</x:v>
      </x:c>
      <x:c r="G223" s="13" t="n">
        <x:v>1</x:v>
      </x:c>
      <x:c r="H223" s="13" t="n">
        <x:v>1</x:v>
      </x:c>
      <x:c r="I223" s="13" t="n">
        <x:v>1</x:v>
      </x:c>
      <x:c r="J223" s="2" t="str">
        <x:v>通过</x:v>
      </x:c>
      <x:c r="K223" s="2" t="str">
        <x:v>nonempty</x:v>
      </x:c>
      <x:c r="L223" s="2" t="str">
        <x:v>resolved</x:v>
      </x:c>
      <x:c r="M223" s="11" t="n">
        <x:v>13</x:v>
      </x:c>
      <x:c r="N223" s="11" t="n">
        <x:v>139312</x:v>
      </x:c>
      <x:c r="O223" s="12" t="n">
        <x:v>40.275</x:v>
      </x:c>
      <x:c r="P223" s="9" t="str"/>
      <x:c r="Q223" s="9" t="str">
        <x:v>task_output-wsl/lite-baseline-001/instances/scikit-learn__scikit-learn-13241/attempt-0001/state.json</x:v>
      </x:c>
      <x:c r="R223" s="2" t="n">
        <x:v>1</x:v>
      </x:c>
    </x:row>
    <x:row r="224" ht="44" customHeight="1">
      <x:c r="A224" s="2" t="str">
        <x:v>scikit-learn__scikit-learn-13439</x:v>
      </x:c>
      <x:c r="B224" s="2" t="str">
        <x:v>scikit-learn/scikit-learn</x:v>
      </x:c>
      <x:c r="C224" s="2" t="str">
        <x:v>attempt-0001</x:v>
      </x:c>
      <x:c r="D224" s="2" t="str">
        <x:v>resolved</x:v>
      </x:c>
      <x:c r="E224" s="2" t="str">
        <x:v>finished</x:v>
      </x:c>
      <x:c r="F224" s="2" t="str">
        <x:v>completed</x:v>
      </x:c>
      <x:c r="G224" s="13" t="n">
        <x:v>1</x:v>
      </x:c>
      <x:c r="H224" s="13" t="n">
        <x:v>1</x:v>
      </x:c>
      <x:c r="I224" s="13" t="n">
        <x:v>1</x:v>
      </x:c>
      <x:c r="J224" s="2" t="str">
        <x:v>通过</x:v>
      </x:c>
      <x:c r="K224" s="2" t="str">
        <x:v>nonempty</x:v>
      </x:c>
      <x:c r="L224" s="2" t="str">
        <x:v>resolved</x:v>
      </x:c>
      <x:c r="M224" s="11" t="n">
        <x:v>13</x:v>
      </x:c>
      <x:c r="N224" s="11" t="n">
        <x:v>116477</x:v>
      </x:c>
      <x:c r="O224" s="12" t="n">
        <x:v>21.722</x:v>
      </x:c>
      <x:c r="P224" s="9" t="str"/>
      <x:c r="Q224" s="9" t="str">
        <x:v>task_output-wsl/lite-baseline-001/instances/scikit-learn__scikit-learn-13439/attempt-0001/state.json</x:v>
      </x:c>
      <x:c r="R224" s="2" t="n">
        <x:v>1</x:v>
      </x:c>
    </x:row>
    <x:row r="225" ht="44" customHeight="1">
      <x:c r="A225" s="2" t="str">
        <x:v>scikit-learn__scikit-learn-13496</x:v>
      </x:c>
      <x:c r="B225" s="2" t="str">
        <x:v>scikit-learn/scikit-learn</x:v>
      </x:c>
      <x:c r="C225" s="2" t="str">
        <x:v>attempt-0001</x:v>
      </x:c>
      <x:c r="D225" s="2" t="str">
        <x:v>resolved</x:v>
      </x:c>
      <x:c r="E225" s="2" t="str">
        <x:v>finished</x:v>
      </x:c>
      <x:c r="F225" s="2" t="str">
        <x:v>completed</x:v>
      </x:c>
      <x:c r="G225" s="13" t="n">
        <x:v>1</x:v>
      </x:c>
      <x:c r="H225" s="13" t="n">
        <x:v>1</x:v>
      </x:c>
      <x:c r="I225" s="13" t="n">
        <x:v>1</x:v>
      </x:c>
      <x:c r="J225" s="2" t="str">
        <x:v>通过</x:v>
      </x:c>
      <x:c r="K225" s="2" t="str">
        <x:v>nonempty</x:v>
      </x:c>
      <x:c r="L225" s="2" t="str">
        <x:v>resolved</x:v>
      </x:c>
      <x:c r="M225" s="11" t="n">
        <x:v>18</x:v>
      </x:c>
      <x:c r="N225" s="11" t="n">
        <x:v>187061</x:v>
      </x:c>
      <x:c r="O225" s="12" t="n">
        <x:v>55.597</x:v>
      </x:c>
      <x:c r="P225" s="9" t="str"/>
      <x:c r="Q225" s="9" t="str">
        <x:v>task_output-wsl/lite-baseline-001/instances/scikit-learn__scikit-learn-13496/attempt-0001/state.json</x:v>
      </x:c>
      <x:c r="R225" s="2" t="n">
        <x:v>1</x:v>
      </x:c>
    </x:row>
    <x:row r="226" ht="44" customHeight="1">
      <x:c r="A226" s="2" t="str">
        <x:v>scikit-learn__scikit-learn-13497</x:v>
      </x:c>
      <x:c r="B226" s="2" t="str">
        <x:v>scikit-learn/scikit-learn</x:v>
      </x:c>
      <x:c r="C226" s="2" t="str">
        <x:v>attempt-0001</x:v>
      </x:c>
      <x:c r="D226" s="2" t="str">
        <x:v>resolved</x:v>
      </x:c>
      <x:c r="E226" s="2" t="str">
        <x:v>finished</x:v>
      </x:c>
      <x:c r="F226" s="2" t="str">
        <x:v>completed</x:v>
      </x:c>
      <x:c r="G226" s="13" t="n">
        <x:v>1</x:v>
      </x:c>
      <x:c r="H226" s="13" t="n">
        <x:v>1</x:v>
      </x:c>
      <x:c r="I226" s="13" t="n">
        <x:v>1</x:v>
      </x:c>
      <x:c r="J226" s="2" t="str">
        <x:v>通过</x:v>
      </x:c>
      <x:c r="K226" s="2" t="str">
        <x:v>nonempty</x:v>
      </x:c>
      <x:c r="L226" s="2" t="str">
        <x:v>resolved</x:v>
      </x:c>
      <x:c r="M226" s="11" t="n">
        <x:v>12</x:v>
      </x:c>
      <x:c r="N226" s="11" t="n">
        <x:v>118590</x:v>
      </x:c>
      <x:c r="O226" s="12" t="n">
        <x:v>29.508</x:v>
      </x:c>
      <x:c r="P226" s="9" t="str"/>
      <x:c r="Q226" s="9" t="str">
        <x:v>task_output-wsl/lite-baseline-001/instances/scikit-learn__scikit-learn-13497/attempt-0001/state.json</x:v>
      </x:c>
      <x:c r="R226" s="2" t="n">
        <x:v>1</x:v>
      </x:c>
    </x:row>
    <x:row r="227" ht="44" customHeight="1">
      <x:c r="A227" s="2" t="str">
        <x:v>scikit-learn__scikit-learn-13584</x:v>
      </x:c>
      <x:c r="B227" s="2" t="str">
        <x:v>scikit-learn/scikit-learn</x:v>
      </x:c>
      <x:c r="C227" s="2" t="str">
        <x:v>attempt-0001</x:v>
      </x:c>
      <x:c r="D227" s="2" t="str">
        <x:v>resolved</x:v>
      </x:c>
      <x:c r="E227" s="2" t="str">
        <x:v>finished</x:v>
      </x:c>
      <x:c r="F227" s="2" t="str">
        <x:v>completed</x:v>
      </x:c>
      <x:c r="G227" s="13" t="n">
        <x:v>1</x:v>
      </x:c>
      <x:c r="H227" s="13" t="n">
        <x:v>1</x:v>
      </x:c>
      <x:c r="I227" s="13" t="n">
        <x:v>1</x:v>
      </x:c>
      <x:c r="J227" s="2" t="str">
        <x:v>通过</x:v>
      </x:c>
      <x:c r="K227" s="2" t="str">
        <x:v>nonempty</x:v>
      </x:c>
      <x:c r="L227" s="2" t="str">
        <x:v>resolved</x:v>
      </x:c>
      <x:c r="M227" s="11" t="n">
        <x:v>10</x:v>
      </x:c>
      <x:c r="N227" s="11" t="n">
        <x:v>78391</x:v>
      </x:c>
      <x:c r="O227" s="12" t="n">
        <x:v>19.136</x:v>
      </x:c>
      <x:c r="P227" s="9" t="str"/>
      <x:c r="Q227" s="9" t="str">
        <x:v>task_output-wsl/lite-baseline-001/instances/scikit-learn__scikit-learn-13584/attempt-0001/state.json</x:v>
      </x:c>
      <x:c r="R227" s="2" t="n">
        <x:v>1</x:v>
      </x:c>
    </x:row>
    <x:row r="228" ht="44" customHeight="1">
      <x:c r="A228" s="2" t="str">
        <x:v>scikit-learn__scikit-learn-13779</x:v>
      </x:c>
      <x:c r="B228" s="2" t="str">
        <x:v>scikit-learn/scikit-learn</x:v>
      </x:c>
      <x:c r="C228" s="2" t="str">
        <x:v>attempt-0001</x:v>
      </x:c>
      <x:c r="D228" s="2" t="str">
        <x:v>resolved</x:v>
      </x:c>
      <x:c r="E228" s="2" t="str">
        <x:v>finished</x:v>
      </x:c>
      <x:c r="F228" s="2" t="str">
        <x:v>completed</x:v>
      </x:c>
      <x:c r="G228" s="13" t="n">
        <x:v>1</x:v>
      </x:c>
      <x:c r="H228" s="13" t="n">
        <x:v>1</x:v>
      </x:c>
      <x:c r="I228" s="13" t="n">
        <x:v>1</x:v>
      </x:c>
      <x:c r="J228" s="2" t="str">
        <x:v>通过</x:v>
      </x:c>
      <x:c r="K228" s="2" t="str">
        <x:v>nonempty</x:v>
      </x:c>
      <x:c r="L228" s="2" t="str">
        <x:v>resolved</x:v>
      </x:c>
      <x:c r="M228" s="11" t="n">
        <x:v>12</x:v>
      </x:c>
      <x:c r="N228" s="11" t="n">
        <x:v>109313</x:v>
      </x:c>
      <x:c r="O228" s="12" t="n">
        <x:v>22.099</x:v>
      </x:c>
      <x:c r="P228" s="9" t="str"/>
      <x:c r="Q228" s="9" t="str">
        <x:v>task_output-wsl/lite-baseline-001/instances/scikit-learn__scikit-learn-13779/attempt-0001/state.json</x:v>
      </x:c>
      <x:c r="R228" s="2" t="n">
        <x:v>1</x:v>
      </x:c>
    </x:row>
    <x:row r="229" ht="44" customHeight="1">
      <x:c r="A229" s="2" t="str">
        <x:v>scikit-learn__scikit-learn-14087</x:v>
      </x:c>
      <x:c r="B229" s="2" t="str">
        <x:v>scikit-learn/scikit-learn</x:v>
      </x:c>
      <x:c r="C229" s="2" t="str">
        <x:v>attempt-0001</x:v>
      </x:c>
      <x:c r="D229" s="2" t="str">
        <x:v>resolved</x:v>
      </x:c>
      <x:c r="E229" s="2" t="str">
        <x:v>finished</x:v>
      </x:c>
      <x:c r="F229" s="2" t="str">
        <x:v>completed</x:v>
      </x:c>
      <x:c r="G229" s="13" t="n">
        <x:v>1</x:v>
      </x:c>
      <x:c r="H229" s="13" t="n">
        <x:v>1</x:v>
      </x:c>
      <x:c r="I229" s="13" t="n">
        <x:v>1</x:v>
      </x:c>
      <x:c r="J229" s="2" t="str">
        <x:v>通过</x:v>
      </x:c>
      <x:c r="K229" s="2" t="str">
        <x:v>nonempty</x:v>
      </x:c>
      <x:c r="L229" s="2" t="str">
        <x:v>resolved</x:v>
      </x:c>
      <x:c r="M229" s="11" t="n">
        <x:v>41</x:v>
      </x:c>
      <x:c r="N229" s="11" t="n">
        <x:v>484267</x:v>
      </x:c>
      <x:c r="O229" s="12" t="n">
        <x:v>121.947</x:v>
      </x:c>
      <x:c r="P229" s="9" t="str"/>
      <x:c r="Q229" s="9" t="str">
        <x:v>task_output-wsl/lite-baseline-001/instances/scikit-learn__scikit-learn-14087/attempt-0001/state.json</x:v>
      </x:c>
      <x:c r="R229" s="2" t="n">
        <x:v>1</x:v>
      </x:c>
    </x:row>
    <x:row r="230" ht="44" customHeight="1">
      <x:c r="A230" s="2" t="str">
        <x:v>scikit-learn__scikit-learn-14092</x:v>
      </x:c>
      <x:c r="B230" s="2" t="str">
        <x:v>scikit-learn/scikit-learn</x:v>
      </x:c>
      <x:c r="C230" s="2" t="str">
        <x:v>attempt-0001</x:v>
      </x:c>
      <x:c r="D230" s="2" t="str">
        <x:v>resolved</x:v>
      </x:c>
      <x:c r="E230" s="2" t="str">
        <x:v>finished</x:v>
      </x:c>
      <x:c r="F230" s="2" t="str">
        <x:v>completed</x:v>
      </x:c>
      <x:c r="G230" s="13" t="n">
        <x:v>1</x:v>
      </x:c>
      <x:c r="H230" s="13" t="n">
        <x:v>1</x:v>
      </x:c>
      <x:c r="I230" s="13" t="n">
        <x:v>1</x:v>
      </x:c>
      <x:c r="J230" s="2" t="str">
        <x:v>通过</x:v>
      </x:c>
      <x:c r="K230" s="2" t="str">
        <x:v>nonempty</x:v>
      </x:c>
      <x:c r="L230" s="2" t="str">
        <x:v>resolved</x:v>
      </x:c>
      <x:c r="M230" s="11" t="n">
        <x:v>25</x:v>
      </x:c>
      <x:c r="N230" s="11" t="n">
        <x:v>287069</x:v>
      </x:c>
      <x:c r="O230" s="12" t="n">
        <x:v>53.351</x:v>
      </x:c>
      <x:c r="P230" s="9" t="str"/>
      <x:c r="Q230" s="9" t="str">
        <x:v>task_output-wsl/lite-baseline-001/instances/scikit-learn__scikit-learn-14092/attempt-0001/state.json</x:v>
      </x:c>
      <x:c r="R230" s="2" t="n">
        <x:v>1</x:v>
      </x:c>
    </x:row>
    <x:row r="231" ht="44" customHeight="1">
      <x:c r="A231" s="2" t="str">
        <x:v>scikit-learn__scikit-learn-14894</x:v>
      </x:c>
      <x:c r="B231" s="2" t="str">
        <x:v>scikit-learn/scikit-learn</x:v>
      </x:c>
      <x:c r="C231" s="2" t="str">
        <x:v>attempt-0001</x:v>
      </x:c>
      <x:c r="D231" s="2" t="str">
        <x:v>resolved</x:v>
      </x:c>
      <x:c r="E231" s="2" t="str">
        <x:v>finished</x:v>
      </x:c>
      <x:c r="F231" s="2" t="str">
        <x:v>completed</x:v>
      </x:c>
      <x:c r="G231" s="13" t="n">
        <x:v>1</x:v>
      </x:c>
      <x:c r="H231" s="13" t="n">
        <x:v>1</x:v>
      </x:c>
      <x:c r="I231" s="13" t="n">
        <x:v>1</x:v>
      </x:c>
      <x:c r="J231" s="2" t="str">
        <x:v>通过</x:v>
      </x:c>
      <x:c r="K231" s="2" t="str">
        <x:v>nonempty</x:v>
      </x:c>
      <x:c r="L231" s="2" t="str">
        <x:v>resolved</x:v>
      </x:c>
      <x:c r="M231" s="11" t="n">
        <x:v>16</x:v>
      </x:c>
      <x:c r="N231" s="11" t="n">
        <x:v>150172</x:v>
      </x:c>
      <x:c r="O231" s="12" t="n">
        <x:v>36.271</x:v>
      </x:c>
      <x:c r="P231" s="9" t="str"/>
      <x:c r="Q231" s="9" t="str">
        <x:v>task_output-wsl/lite-baseline-001/instances/scikit-learn__scikit-learn-14894/attempt-0001/state.json</x:v>
      </x:c>
      <x:c r="R231" s="2" t="n">
        <x:v>1</x:v>
      </x:c>
    </x:row>
    <x:row r="232" ht="44" customHeight="1">
      <x:c r="A232" s="2" t="str">
        <x:v>scikit-learn__scikit-learn-14983</x:v>
      </x:c>
      <x:c r="B232" s="2" t="str">
        <x:v>scikit-learn/scikit-learn</x:v>
      </x:c>
      <x:c r="C232" s="2" t="str">
        <x:v>attempt-0001</x:v>
      </x:c>
      <x:c r="D232" s="2" t="str">
        <x:v>resolved</x:v>
      </x:c>
      <x:c r="E232" s="2" t="str">
        <x:v>finished</x:v>
      </x:c>
      <x:c r="F232" s="2" t="str">
        <x:v>completed</x:v>
      </x:c>
      <x:c r="G232" s="13" t="n">
        <x:v>1</x:v>
      </x:c>
      <x:c r="H232" s="13" t="n">
        <x:v>1</x:v>
      </x:c>
      <x:c r="I232" s="13" t="n">
        <x:v>1</x:v>
      </x:c>
      <x:c r="J232" s="2" t="str">
        <x:v>通过</x:v>
      </x:c>
      <x:c r="K232" s="2" t="str">
        <x:v>nonempty</x:v>
      </x:c>
      <x:c r="L232" s="2" t="str">
        <x:v>resolved</x:v>
      </x:c>
      <x:c r="M232" s="11" t="n">
        <x:v>29</x:v>
      </x:c>
      <x:c r="N232" s="11" t="n">
        <x:v>283903</x:v>
      </x:c>
      <x:c r="O232" s="12" t="n">
        <x:v>54.697</x:v>
      </x:c>
      <x:c r="P232" s="9" t="str"/>
      <x:c r="Q232" s="9" t="str">
        <x:v>task_output-wsl/lite-baseline-001/instances/scikit-learn__scikit-learn-14983/attempt-0001/state.json</x:v>
      </x:c>
      <x:c r="R232" s="2" t="n">
        <x:v>1</x:v>
      </x:c>
    </x:row>
    <x:row r="233" ht="44" customHeight="1">
      <x:c r="A233" s="2" t="str">
        <x:v>scikit-learn__scikit-learn-15512</x:v>
      </x:c>
      <x:c r="B233" s="2" t="str">
        <x:v>scikit-learn/scikit-learn</x:v>
      </x:c>
      <x:c r="C233" s="2" t="str">
        <x:v>attempt-0001</x:v>
      </x:c>
      <x:c r="D233" s="2" t="str">
        <x:v>resolved</x:v>
      </x:c>
      <x:c r="E233" s="2" t="str">
        <x:v>finished</x:v>
      </x:c>
      <x:c r="F233" s="2" t="str">
        <x:v>completed</x:v>
      </x:c>
      <x:c r="G233" s="13" t="n">
        <x:v>1</x:v>
      </x:c>
      <x:c r="H233" s="13" t="n">
        <x:v>1</x:v>
      </x:c>
      <x:c r="I233" s="13" t="n">
        <x:v>1</x:v>
      </x:c>
      <x:c r="J233" s="2" t="str">
        <x:v>通过</x:v>
      </x:c>
      <x:c r="K233" s="2" t="str">
        <x:v>nonempty</x:v>
      </x:c>
      <x:c r="L233" s="2" t="str">
        <x:v>resolved</x:v>
      </x:c>
      <x:c r="M233" s="11" t="n">
        <x:v>12</x:v>
      </x:c>
      <x:c r="N233" s="11" t="n">
        <x:v>125192</x:v>
      </x:c>
      <x:c r="O233" s="12" t="n">
        <x:v>38.267</x:v>
      </x:c>
      <x:c r="P233" s="9" t="str"/>
      <x:c r="Q233" s="9" t="str">
        <x:v>task_output-wsl/lite-baseline-001/instances/scikit-learn__scikit-learn-15512/attempt-0001/state.json</x:v>
      </x:c>
      <x:c r="R233" s="2" t="n">
        <x:v>1</x:v>
      </x:c>
    </x:row>
    <x:row r="234" ht="44" customHeight="1">
      <x:c r="A234" s="2" t="str">
        <x:v>scikit-learn__scikit-learn-15535</x:v>
      </x:c>
      <x:c r="B234" s="2" t="str">
        <x:v>scikit-learn/scikit-learn</x:v>
      </x:c>
      <x:c r="C234" s="2" t="str">
        <x:v>attempt-0001</x:v>
      </x:c>
      <x:c r="D234" s="2" t="str">
        <x:v>resolved</x:v>
      </x:c>
      <x:c r="E234" s="2" t="str">
        <x:v>finished</x:v>
      </x:c>
      <x:c r="F234" s="2" t="str">
        <x:v>completed</x:v>
      </x:c>
      <x:c r="G234" s="13" t="n">
        <x:v>1</x:v>
      </x:c>
      <x:c r="H234" s="13" t="n">
        <x:v>1</x:v>
      </x:c>
      <x:c r="I234" s="13" t="n">
        <x:v>1</x:v>
      </x:c>
      <x:c r="J234" s="2" t="str">
        <x:v>通过</x:v>
      </x:c>
      <x:c r="K234" s="2" t="str">
        <x:v>nonempty</x:v>
      </x:c>
      <x:c r="L234" s="2" t="str">
        <x:v>resolved</x:v>
      </x:c>
      <x:c r="M234" s="11" t="n">
        <x:v>11</x:v>
      </x:c>
      <x:c r="N234" s="11" t="n">
        <x:v>96122</x:v>
      </x:c>
      <x:c r="O234" s="12" t="n">
        <x:v>21.947</x:v>
      </x:c>
      <x:c r="P234" s="9" t="str"/>
      <x:c r="Q234" s="9" t="str">
        <x:v>task_output-wsl/lite-baseline-001/instances/scikit-learn__scikit-learn-15535/attempt-0001/state.json</x:v>
      </x:c>
      <x:c r="R234" s="2" t="n">
        <x:v>1</x:v>
      </x:c>
    </x:row>
    <x:row r="235" ht="44" customHeight="1">
      <x:c r="A235" s="2" t="str">
        <x:v>scikit-learn__scikit-learn-25500</x:v>
      </x:c>
      <x:c r="B235" s="2" t="str">
        <x:v>scikit-learn/scikit-learn</x:v>
      </x:c>
      <x:c r="C235" s="2" t="str">
        <x:v>attempt-0001</x:v>
      </x:c>
      <x:c r="D235" s="2" t="str">
        <x:v>resolved</x:v>
      </x:c>
      <x:c r="E235" s="2" t="str">
        <x:v>finished</x:v>
      </x:c>
      <x:c r="F235" s="2" t="str">
        <x:v>completed</x:v>
      </x:c>
      <x:c r="G235" s="13" t="n">
        <x:v>1</x:v>
      </x:c>
      <x:c r="H235" s="13" t="n">
        <x:v>1</x:v>
      </x:c>
      <x:c r="I235" s="13" t="n">
        <x:v>1</x:v>
      </x:c>
      <x:c r="J235" s="2" t="str">
        <x:v>通过</x:v>
      </x:c>
      <x:c r="K235" s="2" t="str">
        <x:v>nonempty</x:v>
      </x:c>
      <x:c r="L235" s="2" t="str">
        <x:v>resolved</x:v>
      </x:c>
      <x:c r="M235" s="11" t="n">
        <x:v>32</x:v>
      </x:c>
      <x:c r="N235" s="11" t="n">
        <x:v>358873</x:v>
      </x:c>
      <x:c r="O235" s="12" t="n">
        <x:v>67.483</x:v>
      </x:c>
      <x:c r="P235" s="9" t="str"/>
      <x:c r="Q235" s="9" t="str">
        <x:v>task_output-wsl/lite-baseline-001/instances/scikit-learn__scikit-learn-25500/attempt-0001/state.json</x:v>
      </x:c>
      <x:c r="R235" s="2" t="n">
        <x:v>1</x:v>
      </x:c>
    </x:row>
    <x:row r="236" ht="44" customHeight="1">
      <x:c r="A236" s="2" t="str">
        <x:v>scikit-learn__scikit-learn-25570</x:v>
      </x:c>
      <x:c r="B236" s="2" t="str">
        <x:v>scikit-learn/scikit-learn</x:v>
      </x:c>
      <x:c r="C236" s="2" t="str">
        <x:v>attempt-0001</x:v>
      </x:c>
      <x:c r="D236" s="2" t="str">
        <x:v>resolved</x:v>
      </x:c>
      <x:c r="E236" s="2" t="str">
        <x:v>finished</x:v>
      </x:c>
      <x:c r="F236" s="2" t="str">
        <x:v>completed</x:v>
      </x:c>
      <x:c r="G236" s="13" t="n">
        <x:v>1</x:v>
      </x:c>
      <x:c r="H236" s="13" t="n">
        <x:v>1</x:v>
      </x:c>
      <x:c r="I236" s="13" t="n">
        <x:v>1</x:v>
      </x:c>
      <x:c r="J236" s="2" t="str">
        <x:v>通过</x:v>
      </x:c>
      <x:c r="K236" s="2" t="str">
        <x:v>nonempty</x:v>
      </x:c>
      <x:c r="L236" s="2" t="str">
        <x:v>resolved</x:v>
      </x:c>
      <x:c r="M236" s="11" t="n">
        <x:v>53</x:v>
      </x:c>
      <x:c r="N236" s="11" t="n">
        <x:v>601888</x:v>
      </x:c>
      <x:c r="O236" s="12" t="n">
        <x:v>151.066</x:v>
      </x:c>
      <x:c r="P236" s="9" t="str"/>
      <x:c r="Q236" s="9" t="str">
        <x:v>task_output-wsl/lite-baseline-001/instances/scikit-learn__scikit-learn-25570/attempt-0001/state.json</x:v>
      </x:c>
      <x:c r="R236" s="2" t="n">
        <x:v>1</x:v>
      </x:c>
    </x:row>
    <x:row r="237" ht="44" customHeight="1">
      <x:c r="A237" s="2" t="str">
        <x:v>scikit-learn__scikit-learn-25638</x:v>
      </x:c>
      <x:c r="B237" s="2" t="str">
        <x:v>scikit-learn/scikit-learn</x:v>
      </x:c>
      <x:c r="C237" s="2" t="str">
        <x:v>attempt-0001</x:v>
      </x:c>
      <x:c r="D237" s="2" t="str">
        <x:v>resolved</x:v>
      </x:c>
      <x:c r="E237" s="2" t="str">
        <x:v>finished</x:v>
      </x:c>
      <x:c r="F237" s="2" t="str">
        <x:v>completed</x:v>
      </x:c>
      <x:c r="G237" s="13" t="n">
        <x:v>1</x:v>
      </x:c>
      <x:c r="H237" s="13" t="n">
        <x:v>1</x:v>
      </x:c>
      <x:c r="I237" s="13" t="n">
        <x:v>1</x:v>
      </x:c>
      <x:c r="J237" s="2" t="str">
        <x:v>通过</x:v>
      </x:c>
      <x:c r="K237" s="2" t="str">
        <x:v>nonempty</x:v>
      </x:c>
      <x:c r="L237" s="2" t="str">
        <x:v>resolved</x:v>
      </x:c>
      <x:c r="M237" s="11" t="n">
        <x:v>42</x:v>
      </x:c>
      <x:c r="N237" s="11" t="n">
        <x:v>524511</x:v>
      </x:c>
      <x:c r="O237" s="12" t="n">
        <x:v>106.068</x:v>
      </x:c>
      <x:c r="P237" s="9" t="str"/>
      <x:c r="Q237" s="9" t="str">
        <x:v>task_output-wsl/lite-baseline-001/instances/scikit-learn__scikit-learn-25638/attempt-0001/state.json</x:v>
      </x:c>
      <x:c r="R237" s="2" t="n">
        <x:v>1</x:v>
      </x:c>
    </x:row>
    <x:row r="238" ht="44" customHeight="1">
      <x:c r="A238" s="2" t="str">
        <x:v>scikit-learn__scikit-learn-25747</x:v>
      </x:c>
      <x:c r="B238" s="2" t="str">
        <x:v>scikit-learn/scikit-learn</x:v>
      </x:c>
      <x:c r="C238" s="2" t="str">
        <x:v>attempt-0001</x:v>
      </x:c>
      <x:c r="D238" s="2" t="str">
        <x:v>resolved</x:v>
      </x:c>
      <x:c r="E238" s="2" t="str">
        <x:v>finished</x:v>
      </x:c>
      <x:c r="F238" s="2" t="str">
        <x:v>completed</x:v>
      </x:c>
      <x:c r="G238" s="13" t="n">
        <x:v>1</x:v>
      </x:c>
      <x:c r="H238" s="13" t="n">
        <x:v>1</x:v>
      </x:c>
      <x:c r="I238" s="13" t="n">
        <x:v>1</x:v>
      </x:c>
      <x:c r="J238" s="2" t="str">
        <x:v>通过</x:v>
      </x:c>
      <x:c r="K238" s="2" t="str">
        <x:v>nonempty</x:v>
      </x:c>
      <x:c r="L238" s="2" t="str">
        <x:v>resolved</x:v>
      </x:c>
      <x:c r="M238" s="11" t="n">
        <x:v>25</x:v>
      </x:c>
      <x:c r="N238" s="11" t="n">
        <x:v>259112</x:v>
      </x:c>
      <x:c r="O238" s="12" t="n">
        <x:v>120.548</x:v>
      </x:c>
      <x:c r="P238" s="9" t="str"/>
      <x:c r="Q238" s="9" t="str">
        <x:v>task_output-wsl/lite-baseline-001/instances/scikit-learn__scikit-learn-25747/attempt-0001/state.json</x:v>
      </x:c>
      <x:c r="R238" s="2" t="n">
        <x:v>1</x:v>
      </x:c>
    </x:row>
    <x:row r="239" ht="44" customHeight="1">
      <x:c r="A239" s="2" t="str">
        <x:v>sphinx-doc__sphinx-10325</x:v>
      </x:c>
      <x:c r="B239" s="2" t="str">
        <x:v>sphinx-doc/sphinx</x:v>
      </x:c>
      <x:c r="C239" s="2" t="str">
        <x:v>attempt-0001</x:v>
      </x:c>
      <x:c r="D239" s="2" t="str">
        <x:v>resolved</x:v>
      </x:c>
      <x:c r="E239" s="2" t="str">
        <x:v>finished</x:v>
      </x:c>
      <x:c r="F239" s="2" t="str">
        <x:v>limit</x:v>
      </x:c>
      <x:c r="G239" s="13" t="n">
        <x:v>1</x:v>
      </x:c>
      <x:c r="H239" s="13" t="n">
        <x:v>1</x:v>
      </x:c>
      <x:c r="I239" s="13" t="n">
        <x:v>1</x:v>
      </x:c>
      <x:c r="J239" s="2" t="str">
        <x:v>通过</x:v>
      </x:c>
      <x:c r="K239" s="2" t="str">
        <x:v>nonempty</x:v>
      </x:c>
      <x:c r="L239" s="2" t="str">
        <x:v>resolved</x:v>
      </x:c>
      <x:c r="M239" s="11" t="n">
        <x:v>60</x:v>
      </x:c>
      <x:c r="N239" s="11" t="n">
        <x:v>704172</x:v>
      </x:c>
      <x:c r="O239" s="12" t="n">
        <x:v>111.02</x:v>
      </x:c>
      <x:c r="P239" s="9" t="str">
        <x:v>Lead model-turn limit reached.</x:v>
      </x:c>
      <x:c r="Q239" s="9" t="str">
        <x:v>task_output-wsl/lite-baseline-001/instances/sphinx-doc__sphinx-10325/attempt-0001/state.json</x:v>
      </x:c>
      <x:c r="R239" s="2" t="n">
        <x:v>1</x:v>
      </x:c>
    </x:row>
    <x:row r="240" ht="44" customHeight="1">
      <x:c r="A240" s="2" t="str">
        <x:v>sphinx-doc__sphinx-10451</x:v>
      </x:c>
      <x:c r="B240" s="2" t="str">
        <x:v>sphinx-doc/sphinx</x:v>
      </x:c>
      <x:c r="C240" s="2" t="str">
        <x:v>attempt-0001</x:v>
      </x:c>
      <x:c r="D240" s="2" t="str">
        <x:v>unresolved</x:v>
      </x:c>
      <x:c r="E240" s="2" t="str">
        <x:v>finished</x:v>
      </x:c>
      <x:c r="F240" s="2" t="str">
        <x:v>limit</x:v>
      </x:c>
      <x:c r="G240" s="13" t="n">
        <x:v>1</x:v>
      </x:c>
      <x:c r="H240" s="13" t="n">
        <x:v>1</x:v>
      </x:c>
      <x:c r="I240" s="13" t="n">
        <x:v>1</x:v>
      </x:c>
      <x:c r="J240" s="2" t="str">
        <x:v>通过</x:v>
      </x:c>
      <x:c r="K240" s="2" t="str">
        <x:v>nonempty</x:v>
      </x:c>
      <x:c r="L240" s="2" t="str">
        <x:v>unresolved</x:v>
      </x:c>
      <x:c r="M240" s="11" t="n">
        <x:v>62</x:v>
      </x:c>
      <x:c r="N240" s="11" t="n">
        <x:v>710747</x:v>
      </x:c>
      <x:c r="O240" s="12" t="n">
        <x:v>168.315</x:v>
      </x:c>
      <x:c r="P240" s="9" t="str">
        <x:v>Lead model-turn limit reached.</x:v>
      </x:c>
      <x:c r="Q240" s="9" t="str">
        <x:v>task_output-wsl/lite-baseline-001/instances/sphinx-doc__sphinx-10451/attempt-0001/state.json</x:v>
      </x:c>
      <x:c r="R240" s="2" t="n">
        <x:v>1</x:v>
      </x:c>
    </x:row>
    <x:row r="241" ht="44" customHeight="1">
      <x:c r="A241" s="2" t="str">
        <x:v>sphinx-doc__sphinx-11445</x:v>
      </x:c>
      <x:c r="B241" s="2" t="str">
        <x:v>sphinx-doc/sphinx</x:v>
      </x:c>
      <x:c r="C241" s="2" t="str">
        <x:v>attempt-0001</x:v>
      </x:c>
      <x:c r="D241" s="2" t="str">
        <x:v>resolved</x:v>
      </x:c>
      <x:c r="E241" s="2" t="str">
        <x:v>finished</x:v>
      </x:c>
      <x:c r="F241" s="2" t="str">
        <x:v>completed</x:v>
      </x:c>
      <x:c r="G241" s="13" t="n">
        <x:v>1</x:v>
      </x:c>
      <x:c r="H241" s="13" t="n">
        <x:v>1</x:v>
      </x:c>
      <x:c r="I241" s="13" t="n">
        <x:v>1</x:v>
      </x:c>
      <x:c r="J241" s="2" t="str">
        <x:v>通过</x:v>
      </x:c>
      <x:c r="K241" s="2" t="str">
        <x:v>nonempty</x:v>
      </x:c>
      <x:c r="L241" s="2" t="str">
        <x:v>resolved</x:v>
      </x:c>
      <x:c r="M241" s="11" t="n">
        <x:v>41</x:v>
      </x:c>
      <x:c r="N241" s="11" t="n">
        <x:v>407872</x:v>
      </x:c>
      <x:c r="O241" s="12" t="n">
        <x:v>111.655</x:v>
      </x:c>
      <x:c r="P241" s="9" t="str"/>
      <x:c r="Q241" s="9" t="str">
        <x:v>task_output-wsl/lite-baseline-001/instances/sphinx-doc__sphinx-11445/attempt-0001/state.json</x:v>
      </x:c>
      <x:c r="R241" s="2" t="n">
        <x:v>1</x:v>
      </x:c>
    </x:row>
    <x:row r="242" ht="44" customHeight="1">
      <x:c r="A242" s="2" t="str">
        <x:v>sphinx-doc__sphinx-7686</x:v>
      </x:c>
      <x:c r="B242" s="2" t="str">
        <x:v>sphinx-doc/sphinx</x:v>
      </x:c>
      <x:c r="C242" s="2" t="str">
        <x:v>attempt-0001</x:v>
      </x:c>
      <x:c r="D242" s="2" t="str">
        <x:v>empty_patch</x:v>
      </x:c>
      <x:c r="E242" s="2" t="str">
        <x:v>finished</x:v>
      </x:c>
      <x:c r="F242" s="2" t="str">
        <x:v>completed</x:v>
      </x:c>
      <x:c r="G242" s="13" t="n">
        <x:v>1</x:v>
      </x:c>
      <x:c r="H242" s="13" t="n">
        <x:v>1</x:v>
      </x:c>
      <x:c r="I242" s="13" t="n">
        <x:v>1</x:v>
      </x:c>
      <x:c r="J242" s="2" t="str">
        <x:v>通过</x:v>
      </x:c>
      <x:c r="K242" s="2" t="str">
        <x:v>empty</x:v>
      </x:c>
      <x:c r="L242" s="2" t="str">
        <x:v>not_run</x:v>
      </x:c>
      <x:c r="M242" s="11" t="n">
        <x:v>28</x:v>
      </x:c>
      <x:c r="N242" s="11" t="n">
        <x:v>286624</x:v>
      </x:c>
      <x:c r="O242" s="12" t="n">
        <x:v>85.746</x:v>
      </x:c>
      <x:c r="P242" s="9" t="str">
        <x:v>Runner collected no working-tree changes.</x:v>
      </x:c>
      <x:c r="Q242" s="9" t="str">
        <x:v>task_output-wsl/lite-baseline-001/instances/sphinx-doc__sphinx-7686/attempt-0001/state.json</x:v>
      </x:c>
      <x:c r="R242" s="2" t="n">
        <x:v>1</x:v>
      </x:c>
    </x:row>
    <x:row r="243" ht="44" customHeight="1">
      <x:c r="A243" s="2" t="str">
        <x:v>sphinx-doc__sphinx-7738</x:v>
      </x:c>
      <x:c r="B243" s="2" t="str">
        <x:v>sphinx-doc/sphinx</x:v>
      </x:c>
      <x:c r="C243" s="2" t="str">
        <x:v>attempt-0001</x:v>
      </x:c>
      <x:c r="D243" s="2" t="str">
        <x:v>resolved</x:v>
      </x:c>
      <x:c r="E243" s="2" t="str">
        <x:v>finished</x:v>
      </x:c>
      <x:c r="F243" s="2" t="str">
        <x:v>completed</x:v>
      </x:c>
      <x:c r="G243" s="13" t="n">
        <x:v>1</x:v>
      </x:c>
      <x:c r="H243" s="13" t="n">
        <x:v>1</x:v>
      </x:c>
      <x:c r="I243" s="13" t="n">
        <x:v>1</x:v>
      </x:c>
      <x:c r="J243" s="2" t="str">
        <x:v>通过</x:v>
      </x:c>
      <x:c r="K243" s="2" t="str">
        <x:v>nonempty</x:v>
      </x:c>
      <x:c r="L243" s="2" t="str">
        <x:v>resolved</x:v>
      </x:c>
      <x:c r="M243" s="11" t="n">
        <x:v>28</x:v>
      </x:c>
      <x:c r="N243" s="11" t="n">
        <x:v>306477</x:v>
      </x:c>
      <x:c r="O243" s="12" t="n">
        <x:v>53.862</x:v>
      </x:c>
      <x:c r="P243" s="9" t="str"/>
      <x:c r="Q243" s="9" t="str">
        <x:v>task_output-wsl/lite-baseline-001/instances/sphinx-doc__sphinx-7738/attempt-0001/state.json</x:v>
      </x:c>
      <x:c r="R243" s="2" t="n">
        <x:v>1</x:v>
      </x:c>
    </x:row>
    <x:row r="244" ht="44" customHeight="1">
      <x:c r="A244" s="2" t="str">
        <x:v>sphinx-doc__sphinx-7975</x:v>
      </x:c>
      <x:c r="B244" s="2" t="str">
        <x:v>sphinx-doc/sphinx</x:v>
      </x:c>
      <x:c r="C244" s="2" t="str">
        <x:v>attempt-0001</x:v>
      </x:c>
      <x:c r="D244" s="2" t="str">
        <x:v>resolved</x:v>
      </x:c>
      <x:c r="E244" s="2" t="str">
        <x:v>finished</x:v>
      </x:c>
      <x:c r="F244" s="2" t="str">
        <x:v>completed</x:v>
      </x:c>
      <x:c r="G244" s="13" t="n">
        <x:v>1</x:v>
      </x:c>
      <x:c r="H244" s="13" t="n">
        <x:v>1</x:v>
      </x:c>
      <x:c r="I244" s="13" t="n">
        <x:v>1</x:v>
      </x:c>
      <x:c r="J244" s="2" t="str">
        <x:v>通过</x:v>
      </x:c>
      <x:c r="K244" s="2" t="str">
        <x:v>nonempty</x:v>
      </x:c>
      <x:c r="L244" s="2" t="str">
        <x:v>resolved</x:v>
      </x:c>
      <x:c r="M244" s="11" t="n">
        <x:v>63</x:v>
      </x:c>
      <x:c r="N244" s="11" t="n">
        <x:v>713751</x:v>
      </x:c>
      <x:c r="O244" s="12" t="n">
        <x:v>209.943</x:v>
      </x:c>
      <x:c r="P244" s="9" t="str"/>
      <x:c r="Q244" s="9" t="str">
        <x:v>task_output-wsl/lite-baseline-001/instances/sphinx-doc__sphinx-7975/attempt-0001/state.json</x:v>
      </x:c>
      <x:c r="R244" s="2" t="n">
        <x:v>1</x:v>
      </x:c>
    </x:row>
    <x:row r="245" ht="44" customHeight="1">
      <x:c r="A245" s="2" t="str">
        <x:v>sphinx-doc__sphinx-8273</x:v>
      </x:c>
      <x:c r="B245" s="2" t="str">
        <x:v>sphinx-doc/sphinx</x:v>
      </x:c>
      <x:c r="C245" s="2" t="str">
        <x:v>attempt-0001</x:v>
      </x:c>
      <x:c r="D245" s="2" t="str">
        <x:v>unresolved</x:v>
      </x:c>
      <x:c r="E245" s="2" t="str">
        <x:v>finished</x:v>
      </x:c>
      <x:c r="F245" s="2" t="str">
        <x:v>completed</x:v>
      </x:c>
      <x:c r="G245" s="13" t="n">
        <x:v>1</x:v>
      </x:c>
      <x:c r="H245" s="13" t="n">
        <x:v>1</x:v>
      </x:c>
      <x:c r="I245" s="13" t="n">
        <x:v>1</x:v>
      </x:c>
      <x:c r="J245" s="2" t="str">
        <x:v>通过</x:v>
      </x:c>
      <x:c r="K245" s="2" t="str">
        <x:v>nonempty</x:v>
      </x:c>
      <x:c r="L245" s="2" t="str">
        <x:v>unresolved</x:v>
      </x:c>
      <x:c r="M245" s="11" t="n">
        <x:v>24</x:v>
      </x:c>
      <x:c r="N245" s="11" t="n">
        <x:v>244488</x:v>
      </x:c>
      <x:c r="O245" s="12" t="n">
        <x:v>62.727</x:v>
      </x:c>
      <x:c r="P245" s="9" t="str"/>
      <x:c r="Q245" s="9" t="str">
        <x:v>task_output-wsl/lite-baseline-001/instances/sphinx-doc__sphinx-8273/attempt-0001/state.json</x:v>
      </x:c>
      <x:c r="R245" s="2" t="n">
        <x:v>1</x:v>
      </x:c>
    </x:row>
    <x:row r="246" ht="44" customHeight="1">
      <x:c r="A246" s="2" t="str">
        <x:v>sphinx-doc__sphinx-8282</x:v>
      </x:c>
      <x:c r="B246" s="2" t="str">
        <x:v>sphinx-doc/sphinx</x:v>
      </x:c>
      <x:c r="C246" s="2" t="str">
        <x:v>attempt-0001</x:v>
      </x:c>
      <x:c r="D246" s="2" t="str">
        <x:v>unresolved</x:v>
      </x:c>
      <x:c r="E246" s="2" t="str">
        <x:v>finished</x:v>
      </x:c>
      <x:c r="F246" s="2" t="str">
        <x:v>completed</x:v>
      </x:c>
      <x:c r="G246" s="13" t="n">
        <x:v>1</x:v>
      </x:c>
      <x:c r="H246" s="13" t="n">
        <x:v>1</x:v>
      </x:c>
      <x:c r="I246" s="13" t="n">
        <x:v>1</x:v>
      </x:c>
      <x:c r="J246" s="2" t="str">
        <x:v>通过</x:v>
      </x:c>
      <x:c r="K246" s="2" t="str">
        <x:v>nonempty</x:v>
      </x:c>
      <x:c r="L246" s="2" t="str">
        <x:v>unresolved</x:v>
      </x:c>
      <x:c r="M246" s="11" t="n">
        <x:v>56</x:v>
      </x:c>
      <x:c r="N246" s="11" t="n">
        <x:v>634218</x:v>
      </x:c>
      <x:c r="O246" s="12" t="n">
        <x:v>109.861</x:v>
      </x:c>
      <x:c r="P246" s="9" t="str"/>
      <x:c r="Q246" s="9" t="str">
        <x:v>task_output-wsl/lite-baseline-001/instances/sphinx-doc__sphinx-8282/attempt-0001/state.json</x:v>
      </x:c>
      <x:c r="R246" s="2" t="n">
        <x:v>1</x:v>
      </x:c>
    </x:row>
    <x:row r="247" ht="44" customHeight="1">
      <x:c r="A247" s="2" t="str">
        <x:v>sphinx-doc__sphinx-8435</x:v>
      </x:c>
      <x:c r="B247" s="2" t="str">
        <x:v>sphinx-doc/sphinx</x:v>
      </x:c>
      <x:c r="C247" s="2" t="str">
        <x:v>attempt-0001</x:v>
      </x:c>
      <x:c r="D247" s="2" t="str">
        <x:v>resolved</x:v>
      </x:c>
      <x:c r="E247" s="2" t="str">
        <x:v>finished</x:v>
      </x:c>
      <x:c r="F247" s="2" t="str">
        <x:v>limit</x:v>
      </x:c>
      <x:c r="G247" s="13" t="n">
        <x:v>1</x:v>
      </x:c>
      <x:c r="H247" s="13" t="n">
        <x:v>1</x:v>
      </x:c>
      <x:c r="I247" s="13" t="n">
        <x:v>1</x:v>
      </x:c>
      <x:c r="J247" s="2" t="str">
        <x:v>通过</x:v>
      </x:c>
      <x:c r="K247" s="2" t="str">
        <x:v>nonempty</x:v>
      </x:c>
      <x:c r="L247" s="2" t="str">
        <x:v>resolved</x:v>
      </x:c>
      <x:c r="M247" s="11" t="n">
        <x:v>62</x:v>
      </x:c>
      <x:c r="N247" s="11" t="n">
        <x:v>667712</x:v>
      </x:c>
      <x:c r="O247" s="12" t="n">
        <x:v>129.18</x:v>
      </x:c>
      <x:c r="P247" s="9" t="str">
        <x:v>Lead model-turn limit reached.</x:v>
      </x:c>
      <x:c r="Q247" s="9" t="str">
        <x:v>task_output-wsl/lite-baseline-001/instances/sphinx-doc__sphinx-8435/attempt-0001/state.json</x:v>
      </x:c>
      <x:c r="R247" s="2" t="n">
        <x:v>1</x:v>
      </x:c>
    </x:row>
    <x:row r="248" ht="44" customHeight="1">
      <x:c r="A248" s="2" t="str">
        <x:v>sphinx-doc__sphinx-8474</x:v>
      </x:c>
      <x:c r="B248" s="2" t="str">
        <x:v>sphinx-doc/sphinx</x:v>
      </x:c>
      <x:c r="C248" s="2" t="str">
        <x:v>attempt-0001</x:v>
      </x:c>
      <x:c r="D248" s="2" t="str">
        <x:v>empty_patch</x:v>
      </x:c>
      <x:c r="E248" s="2" t="str">
        <x:v>finished</x:v>
      </x:c>
      <x:c r="F248" s="2" t="str">
        <x:v>limit</x:v>
      </x:c>
      <x:c r="G248" s="13" t="n">
        <x:v>1</x:v>
      </x:c>
      <x:c r="H248" s="13" t="n">
        <x:v>1</x:v>
      </x:c>
      <x:c r="I248" s="13" t="n">
        <x:v>1</x:v>
      </x:c>
      <x:c r="J248" s="2" t="str">
        <x:v>通过</x:v>
      </x:c>
      <x:c r="K248" s="2" t="str">
        <x:v>empty</x:v>
      </x:c>
      <x:c r="L248" s="2" t="str">
        <x:v>not_run</x:v>
      </x:c>
      <x:c r="M248" s="11" t="n">
        <x:v>61</x:v>
      </x:c>
      <x:c r="N248" s="11" t="n">
        <x:v>751769</x:v>
      </x:c>
      <x:c r="O248" s="12" t="n">
        <x:v>119.078</x:v>
      </x:c>
      <x:c r="P248" s="9" t="str">
        <x:v>Lead model-turn limit reached.</x:v>
      </x:c>
      <x:c r="Q248" s="9" t="str">
        <x:v>task_output-wsl/lite-baseline-001/instances/sphinx-doc__sphinx-8474/attempt-0001/state.json</x:v>
      </x:c>
      <x:c r="R248" s="2" t="n">
        <x:v>1</x:v>
      </x:c>
    </x:row>
    <x:row r="249" ht="44" customHeight="1">
      <x:c r="A249" s="2" t="str">
        <x:v>sphinx-doc__sphinx-8506</x:v>
      </x:c>
      <x:c r="B249" s="2" t="str">
        <x:v>sphinx-doc/sphinx</x:v>
      </x:c>
      <x:c r="C249" s="2" t="str">
        <x:v>attempt-0001</x:v>
      </x:c>
      <x:c r="D249" s="2" t="str">
        <x:v>unresolved</x:v>
      </x:c>
      <x:c r="E249" s="2" t="str">
        <x:v>finished</x:v>
      </x:c>
      <x:c r="F249" s="2" t="str">
        <x:v>completed</x:v>
      </x:c>
      <x:c r="G249" s="13" t="n">
        <x:v>1</x:v>
      </x:c>
      <x:c r="H249" s="13" t="n">
        <x:v>1</x:v>
      </x:c>
      <x:c r="I249" s="13" t="n">
        <x:v>1</x:v>
      </x:c>
      <x:c r="J249" s="2" t="str">
        <x:v>通过</x:v>
      </x:c>
      <x:c r="K249" s="2" t="str">
        <x:v>nonempty</x:v>
      </x:c>
      <x:c r="L249" s="2" t="str">
        <x:v>unresolved</x:v>
      </x:c>
      <x:c r="M249" s="11" t="n">
        <x:v>52</x:v>
      </x:c>
      <x:c r="N249" s="11" t="n">
        <x:v>594460</x:v>
      </x:c>
      <x:c r="O249" s="12" t="n">
        <x:v>218.135</x:v>
      </x:c>
      <x:c r="P249" s="9" t="str"/>
      <x:c r="Q249" s="9" t="str">
        <x:v>task_output-wsl/lite-baseline-001/instances/sphinx-doc__sphinx-8506/attempt-0001/state.json</x:v>
      </x:c>
      <x:c r="R249" s="2" t="n">
        <x:v>1</x:v>
      </x:c>
    </x:row>
    <x:row r="250" ht="44" customHeight="1">
      <x:c r="A250" s="2" t="str">
        <x:v>sphinx-doc__sphinx-8595</x:v>
      </x:c>
      <x:c r="B250" s="2" t="str">
        <x:v>sphinx-doc/sphinx</x:v>
      </x:c>
      <x:c r="C250" s="2" t="str">
        <x:v>attempt-0001</x:v>
      </x:c>
      <x:c r="D250" s="2" t="str">
        <x:v>resolved</x:v>
      </x:c>
      <x:c r="E250" s="2" t="str">
        <x:v>finished</x:v>
      </x:c>
      <x:c r="F250" s="2" t="str">
        <x:v>completed</x:v>
      </x:c>
      <x:c r="G250" s="13" t="n">
        <x:v>1</x:v>
      </x:c>
      <x:c r="H250" s="13" t="n">
        <x:v>1</x:v>
      </x:c>
      <x:c r="I250" s="13" t="n">
        <x:v>1</x:v>
      </x:c>
      <x:c r="J250" s="2" t="str">
        <x:v>通过</x:v>
      </x:c>
      <x:c r="K250" s="2" t="str">
        <x:v>nonempty</x:v>
      </x:c>
      <x:c r="L250" s="2" t="str">
        <x:v>resolved</x:v>
      </x:c>
      <x:c r="M250" s="11" t="n">
        <x:v>16</x:v>
      </x:c>
      <x:c r="N250" s="11" t="n">
        <x:v>144377</x:v>
      </x:c>
      <x:c r="O250" s="12" t="n">
        <x:v>34.741</x:v>
      </x:c>
      <x:c r="P250" s="9" t="str"/>
      <x:c r="Q250" s="9" t="str">
        <x:v>task_output-wsl/lite-baseline-001/instances/sphinx-doc__sphinx-8595/attempt-0001/state.json</x:v>
      </x:c>
      <x:c r="R250" s="2" t="n">
        <x:v>1</x:v>
      </x:c>
    </x:row>
    <x:row r="251" ht="44" customHeight="1">
      <x:c r="A251" s="2" t="str">
        <x:v>sphinx-doc__sphinx-8627</x:v>
      </x:c>
      <x:c r="B251" s="2" t="str">
        <x:v>sphinx-doc/sphinx</x:v>
      </x:c>
      <x:c r="C251" s="2" t="str">
        <x:v>attempt-0001</x:v>
      </x:c>
      <x:c r="D251" s="2" t="str">
        <x:v>resolved</x:v>
      </x:c>
      <x:c r="E251" s="2" t="str">
        <x:v>finished</x:v>
      </x:c>
      <x:c r="F251" s="2" t="str">
        <x:v>completed</x:v>
      </x:c>
      <x:c r="G251" s="13" t="n">
        <x:v>1</x:v>
      </x:c>
      <x:c r="H251" s="13" t="n">
        <x:v>1</x:v>
      </x:c>
      <x:c r="I251" s="13" t="n">
        <x:v>1</x:v>
      </x:c>
      <x:c r="J251" s="2" t="str">
        <x:v>通过</x:v>
      </x:c>
      <x:c r="K251" s="2" t="str">
        <x:v>nonempty</x:v>
      </x:c>
      <x:c r="L251" s="2" t="str">
        <x:v>resolved</x:v>
      </x:c>
      <x:c r="M251" s="11" t="n">
        <x:v>59</x:v>
      </x:c>
      <x:c r="N251" s="11" t="n">
        <x:v>721980</x:v>
      </x:c>
      <x:c r="O251" s="12" t="n">
        <x:v>158.547</x:v>
      </x:c>
      <x:c r="P251" s="9" t="str"/>
      <x:c r="Q251" s="9" t="str">
        <x:v>task_output-wsl/lite-baseline-001/instances/sphinx-doc__sphinx-8627/attempt-0001/state.json</x:v>
      </x:c>
      <x:c r="R251" s="2" t="n">
        <x:v>1</x:v>
      </x:c>
    </x:row>
    <x:row r="252" ht="44" customHeight="1">
      <x:c r="A252" s="2" t="str">
        <x:v>sphinx-doc__sphinx-8713</x:v>
      </x:c>
      <x:c r="B252" s="2" t="str">
        <x:v>sphinx-doc/sphinx</x:v>
      </x:c>
      <x:c r="C252" s="2" t="str">
        <x:v>attempt-0001</x:v>
      </x:c>
      <x:c r="D252" s="2" t="str">
        <x:v>resolved</x:v>
      </x:c>
      <x:c r="E252" s="2" t="str">
        <x:v>finished</x:v>
      </x:c>
      <x:c r="F252" s="2" t="str">
        <x:v>completed</x:v>
      </x:c>
      <x:c r="G252" s="13" t="n">
        <x:v>1</x:v>
      </x:c>
      <x:c r="H252" s="13" t="n">
        <x:v>1</x:v>
      </x:c>
      <x:c r="I252" s="13" t="n">
        <x:v>1</x:v>
      </x:c>
      <x:c r="J252" s="2" t="str">
        <x:v>通过</x:v>
      </x:c>
      <x:c r="K252" s="2" t="str">
        <x:v>nonempty</x:v>
      </x:c>
      <x:c r="L252" s="2" t="str">
        <x:v>resolved</x:v>
      </x:c>
      <x:c r="M252" s="11" t="n">
        <x:v>13</x:v>
      </x:c>
      <x:c r="N252" s="11" t="n">
        <x:v>100719</x:v>
      </x:c>
      <x:c r="O252" s="12" t="n">
        <x:v>27.935</x:v>
      </x:c>
      <x:c r="P252" s="9" t="str"/>
      <x:c r="Q252" s="9" t="str">
        <x:v>task_output-wsl/lite-baseline-001/instances/sphinx-doc__sphinx-8713/attempt-0001/state.json</x:v>
      </x:c>
      <x:c r="R252" s="2" t="n">
        <x:v>1</x:v>
      </x:c>
    </x:row>
    <x:row r="253" ht="44" customHeight="1">
      <x:c r="A253" s="2" t="str">
        <x:v>sphinx-doc__sphinx-8721</x:v>
      </x:c>
      <x:c r="B253" s="2" t="str">
        <x:v>sphinx-doc/sphinx</x:v>
      </x:c>
      <x:c r="C253" s="2" t="str">
        <x:v>attempt-0001</x:v>
      </x:c>
      <x:c r="D253" s="2" t="str">
        <x:v>resolved</x:v>
      </x:c>
      <x:c r="E253" s="2" t="str">
        <x:v>finished</x:v>
      </x:c>
      <x:c r="F253" s="2" t="str">
        <x:v>completed</x:v>
      </x:c>
      <x:c r="G253" s="13" t="n">
        <x:v>1</x:v>
      </x:c>
      <x:c r="H253" s="13" t="n">
        <x:v>1</x:v>
      </x:c>
      <x:c r="I253" s="13" t="n">
        <x:v>1</x:v>
      </x:c>
      <x:c r="J253" s="2" t="str">
        <x:v>通过</x:v>
      </x:c>
      <x:c r="K253" s="2" t="str">
        <x:v>nonempty</x:v>
      </x:c>
      <x:c r="L253" s="2" t="str">
        <x:v>resolved</x:v>
      </x:c>
      <x:c r="M253" s="11" t="n">
        <x:v>9</x:v>
      </x:c>
      <x:c r="N253" s="11" t="n">
        <x:v>90463</x:v>
      </x:c>
      <x:c r="O253" s="12" t="n">
        <x:v>25.649</x:v>
      </x:c>
      <x:c r="P253" s="9" t="str"/>
      <x:c r="Q253" s="9" t="str">
        <x:v>task_output-wsl/lite-baseline-001/instances/sphinx-doc__sphinx-8721/attempt-0001/state.json</x:v>
      </x:c>
      <x:c r="R253" s="2" t="n">
        <x:v>1</x:v>
      </x:c>
    </x:row>
    <x:row r="254" ht="44" customHeight="1">
      <x:c r="A254" s="2" t="str">
        <x:v>sphinx-doc__sphinx-8801</x:v>
      </x:c>
      <x:c r="B254" s="2" t="str">
        <x:v>sphinx-doc/sphinx</x:v>
      </x:c>
      <x:c r="C254" s="2" t="str">
        <x:v>attempt-0001</x:v>
      </x:c>
      <x:c r="D254" s="2" t="str">
        <x:v>resolved</x:v>
      </x:c>
      <x:c r="E254" s="2" t="str">
        <x:v>finished</x:v>
      </x:c>
      <x:c r="F254" s="2" t="str">
        <x:v>completed</x:v>
      </x:c>
      <x:c r="G254" s="13" t="n">
        <x:v>1</x:v>
      </x:c>
      <x:c r="H254" s="13" t="n">
        <x:v>1</x:v>
      </x:c>
      <x:c r="I254" s="13" t="n">
        <x:v>1</x:v>
      </x:c>
      <x:c r="J254" s="2" t="str">
        <x:v>通过</x:v>
      </x:c>
      <x:c r="K254" s="2" t="str">
        <x:v>nonempty</x:v>
      </x:c>
      <x:c r="L254" s="2" t="str">
        <x:v>resolved</x:v>
      </x:c>
      <x:c r="M254" s="11" t="n">
        <x:v>36</x:v>
      </x:c>
      <x:c r="N254" s="11" t="n">
        <x:v>387429</x:v>
      </x:c>
      <x:c r="O254" s="12" t="n">
        <x:v>79.285</x:v>
      </x:c>
      <x:c r="P254" s="9" t="str"/>
      <x:c r="Q254" s="9" t="str">
        <x:v>task_output-wsl/lite-baseline-001/instances/sphinx-doc__sphinx-8801/attempt-0001/state.json</x:v>
      </x:c>
      <x:c r="R254" s="2" t="n">
        <x:v>1</x:v>
      </x:c>
    </x:row>
    <x:row r="255" ht="44" customHeight="1">
      <x:c r="A255" s="2" t="str">
        <x:v>sympy__sympy-11400</x:v>
      </x:c>
      <x:c r="B255" s="2" t="str">
        <x:v>sympy/sympy</x:v>
      </x:c>
      <x:c r="C255" s="2" t="str">
        <x:v>attempt-0001</x:v>
      </x:c>
      <x:c r="D255" s="2" t="str">
        <x:v>unresolved</x:v>
      </x:c>
      <x:c r="E255" s="2" t="str">
        <x:v>finished</x:v>
      </x:c>
      <x:c r="F255" s="2" t="str">
        <x:v>completed</x:v>
      </x:c>
      <x:c r="G255" s="13" t="n">
        <x:v>1</x:v>
      </x:c>
      <x:c r="H255" s="13" t="n">
        <x:v>1</x:v>
      </x:c>
      <x:c r="I255" s="13" t="n">
        <x:v>1</x:v>
      </x:c>
      <x:c r="J255" s="2" t="str">
        <x:v>通过</x:v>
      </x:c>
      <x:c r="K255" s="2" t="str">
        <x:v>nonempty</x:v>
      </x:c>
      <x:c r="L255" s="2" t="str">
        <x:v>unresolved</x:v>
      </x:c>
      <x:c r="M255" s="11" t="n">
        <x:v>58</x:v>
      </x:c>
      <x:c r="N255" s="11" t="n">
        <x:v>656407</x:v>
      </x:c>
      <x:c r="O255" s="12" t="n">
        <x:v>179.346</x:v>
      </x:c>
      <x:c r="P255" s="9" t="str"/>
      <x:c r="Q255" s="9" t="str">
        <x:v>task_output-wsl/lite-baseline-001/instances/sympy__sympy-11400/attempt-0001/state.json</x:v>
      </x:c>
      <x:c r="R255" s="2" t="n">
        <x:v>1</x:v>
      </x:c>
    </x:row>
    <x:row r="256" ht="44" customHeight="1">
      <x:c r="A256" s="2" t="str">
        <x:v>sympy__sympy-11870</x:v>
      </x:c>
      <x:c r="B256" s="2" t="str">
        <x:v>sympy/sympy</x:v>
      </x:c>
      <x:c r="C256" s="2" t="str">
        <x:v>attempt-0001</x:v>
      </x:c>
      <x:c r="D256" s="2" t="str">
        <x:v>empty_patch</x:v>
      </x:c>
      <x:c r="E256" s="2" t="str">
        <x:v>finished</x:v>
      </x:c>
      <x:c r="F256" s="2" t="str">
        <x:v>limit</x:v>
      </x:c>
      <x:c r="G256" s="13" t="n">
        <x:v>1</x:v>
      </x:c>
      <x:c r="H256" s="13" t="n">
        <x:v>1</x:v>
      </x:c>
      <x:c r="I256" s="13" t="n">
        <x:v>1</x:v>
      </x:c>
      <x:c r="J256" s="2" t="str">
        <x:v>通过</x:v>
      </x:c>
      <x:c r="K256" s="2" t="str">
        <x:v>empty</x:v>
      </x:c>
      <x:c r="L256" s="2" t="str">
        <x:v>not_run</x:v>
      </x:c>
      <x:c r="M256" s="11" t="n">
        <x:v>62</x:v>
      </x:c>
      <x:c r="N256" s="11" t="n">
        <x:v>720803</x:v>
      </x:c>
      <x:c r="O256" s="12" t="n">
        <x:v>147.623</x:v>
      </x:c>
      <x:c r="P256" s="9" t="str">
        <x:v>Lead model-turn limit reached.</x:v>
      </x:c>
      <x:c r="Q256" s="9" t="str">
        <x:v>task_output-wsl/lite-baseline-001/instances/sympy__sympy-11870/attempt-0001/state.json</x:v>
      </x:c>
      <x:c r="R256" s="2" t="n">
        <x:v>1</x:v>
      </x:c>
    </x:row>
    <x:row r="257" ht="44" customHeight="1">
      <x:c r="A257" s="2" t="str">
        <x:v>sympy__sympy-11897</x:v>
      </x:c>
      <x:c r="B257" s="2" t="str">
        <x:v>sympy/sympy</x:v>
      </x:c>
      <x:c r="C257" s="2" t="str">
        <x:v>attempt-0001</x:v>
      </x:c>
      <x:c r="D257" s="2" t="str">
        <x:v>empty_patch</x:v>
      </x:c>
      <x:c r="E257" s="2" t="str">
        <x:v>finished</x:v>
      </x:c>
      <x:c r="F257" s="2" t="str">
        <x:v>limit</x:v>
      </x:c>
      <x:c r="G257" s="13" t="n">
        <x:v>1</x:v>
      </x:c>
      <x:c r="H257" s="13" t="n">
        <x:v>1</x:v>
      </x:c>
      <x:c r="I257" s="13" t="n">
        <x:v>1</x:v>
      </x:c>
      <x:c r="J257" s="2" t="str">
        <x:v>通过</x:v>
      </x:c>
      <x:c r="K257" s="2" t="str">
        <x:v>empty</x:v>
      </x:c>
      <x:c r="L257" s="2" t="str">
        <x:v>not_run</x:v>
      </x:c>
      <x:c r="M257" s="11" t="n">
        <x:v>63</x:v>
      </x:c>
      <x:c r="N257" s="11" t="n">
        <x:v>716643</x:v>
      </x:c>
      <x:c r="O257" s="12" t="n">
        <x:v>186.506</x:v>
      </x:c>
      <x:c r="P257" s="9" t="str">
        <x:v>Lead model-turn limit reached.</x:v>
      </x:c>
      <x:c r="Q257" s="9" t="str">
        <x:v>task_output-wsl/lite-baseline-001/instances/sympy__sympy-11897/attempt-0001/state.json</x:v>
      </x:c>
      <x:c r="R257" s="2" t="n">
        <x:v>1</x:v>
      </x:c>
    </x:row>
    <x:row r="258" ht="44" customHeight="1">
      <x:c r="A258" s="2" t="str">
        <x:v>sympy__sympy-12171</x:v>
      </x:c>
      <x:c r="B258" s="2" t="str">
        <x:v>sympy/sympy</x:v>
      </x:c>
      <x:c r="C258" s="2" t="str">
        <x:v>attempt-0001</x:v>
      </x:c>
      <x:c r="D258" s="2" t="str">
        <x:v>unresolved</x:v>
      </x:c>
      <x:c r="E258" s="2" t="str">
        <x:v>finished</x:v>
      </x:c>
      <x:c r="F258" s="2" t="str">
        <x:v>completed</x:v>
      </x:c>
      <x:c r="G258" s="13" t="n">
        <x:v>1</x:v>
      </x:c>
      <x:c r="H258" s="13" t="n">
        <x:v>1</x:v>
      </x:c>
      <x:c r="I258" s="13" t="n">
        <x:v>1</x:v>
      </x:c>
      <x:c r="J258" s="2" t="str">
        <x:v>通过</x:v>
      </x:c>
      <x:c r="K258" s="2" t="str">
        <x:v>nonempty</x:v>
      </x:c>
      <x:c r="L258" s="2" t="str">
        <x:v>unresolved</x:v>
      </x:c>
      <x:c r="M258" s="11" t="n">
        <x:v>52</x:v>
      </x:c>
      <x:c r="N258" s="11" t="n">
        <x:v>595888</x:v>
      </x:c>
      <x:c r="O258" s="12" t="n">
        <x:v>194.741</x:v>
      </x:c>
      <x:c r="P258" s="9" t="str"/>
      <x:c r="Q258" s="9" t="str">
        <x:v>task_output-wsl/lite-baseline-001/instances/sympy__sympy-12171/attempt-0001/state.json</x:v>
      </x:c>
      <x:c r="R258" s="2" t="n">
        <x:v>1</x:v>
      </x:c>
    </x:row>
    <x:row r="259" ht="44" customHeight="1">
      <x:c r="A259" s="2" t="str">
        <x:v>sympy__sympy-12236</x:v>
      </x:c>
      <x:c r="B259" s="2" t="str">
        <x:v>sympy/sympy</x:v>
      </x:c>
      <x:c r="C259" s="2" t="str">
        <x:v>attempt-0001</x:v>
      </x:c>
      <x:c r="D259" s="2" t="str">
        <x:v>empty_patch</x:v>
      </x:c>
      <x:c r="E259" s="2" t="str">
        <x:v>finished</x:v>
      </x:c>
      <x:c r="F259" s="2" t="str">
        <x:v>limit</x:v>
      </x:c>
      <x:c r="G259" s="13" t="n">
        <x:v>1</x:v>
      </x:c>
      <x:c r="H259" s="13" t="n">
        <x:v>1</x:v>
      </x:c>
      <x:c r="I259" s="13" t="n">
        <x:v>1</x:v>
      </x:c>
      <x:c r="J259" s="2" t="str">
        <x:v>通过</x:v>
      </x:c>
      <x:c r="K259" s="2" t="str">
        <x:v>empty</x:v>
      </x:c>
      <x:c r="L259" s="2" t="str">
        <x:v>not_run</x:v>
      </x:c>
      <x:c r="M259" s="11" t="n">
        <x:v>62</x:v>
      </x:c>
      <x:c r="N259" s="11" t="n">
        <x:v>768844</x:v>
      </x:c>
      <x:c r="O259" s="12" t="n">
        <x:v>158.076</x:v>
      </x:c>
      <x:c r="P259" s="9" t="str">
        <x:v>Lead model-turn limit reached.</x:v>
      </x:c>
      <x:c r="Q259" s="9" t="str">
        <x:v>task_output-wsl/lite-baseline-001/instances/sympy__sympy-12236/attempt-0001/state.json</x:v>
      </x:c>
      <x:c r="R259" s="2" t="n">
        <x:v>1</x:v>
      </x:c>
    </x:row>
    <x:row r="260" ht="44" customHeight="1">
      <x:c r="A260" s="2" t="str">
        <x:v>sympy__sympy-12419</x:v>
      </x:c>
      <x:c r="B260" s="2" t="str">
        <x:v>sympy/sympy</x:v>
      </x:c>
      <x:c r="C260" s="2" t="str">
        <x:v>attempt-0001</x:v>
      </x:c>
      <x:c r="D260" s="2" t="str">
        <x:v>resolved</x:v>
      </x:c>
      <x:c r="E260" s="2" t="str">
        <x:v>finished</x:v>
      </x:c>
      <x:c r="F260" s="2" t="str">
        <x:v>limit</x:v>
      </x:c>
      <x:c r="G260" s="13" t="n">
        <x:v>1</x:v>
      </x:c>
      <x:c r="H260" s="13" t="n">
        <x:v>1</x:v>
      </x:c>
      <x:c r="I260" s="13" t="n">
        <x:v>1</x:v>
      </x:c>
      <x:c r="J260" s="2" t="str">
        <x:v>通过</x:v>
      </x:c>
      <x:c r="K260" s="2" t="str">
        <x:v>nonempty</x:v>
      </x:c>
      <x:c r="L260" s="2" t="str">
        <x:v>resolved</x:v>
      </x:c>
      <x:c r="M260" s="11" t="n">
        <x:v>60</x:v>
      </x:c>
      <x:c r="N260" s="11" t="n">
        <x:v>721938</x:v>
      </x:c>
      <x:c r="O260" s="12" t="n">
        <x:v>120.05</x:v>
      </x:c>
      <x:c r="P260" s="9" t="str">
        <x:v>Lead model-turn limit reached.</x:v>
      </x:c>
      <x:c r="Q260" s="9" t="str">
        <x:v>task_output-wsl/lite-baseline-001/instances/sympy__sympy-12419/attempt-0001/state.json</x:v>
      </x:c>
      <x:c r="R260" s="2" t="n">
        <x:v>1</x:v>
      </x:c>
    </x:row>
    <x:row r="261" ht="44" customHeight="1">
      <x:c r="A261" s="2" t="str">
        <x:v>sympy__sympy-12454</x:v>
      </x:c>
      <x:c r="B261" s="2" t="str">
        <x:v>sympy/sympy</x:v>
      </x:c>
      <x:c r="C261" s="2" t="str">
        <x:v>attempt-0001</x:v>
      </x:c>
      <x:c r="D261" s="2" t="str">
        <x:v>resolved</x:v>
      </x:c>
      <x:c r="E261" s="2" t="str">
        <x:v>finished</x:v>
      </x:c>
      <x:c r="F261" s="2" t="str">
        <x:v>completed</x:v>
      </x:c>
      <x:c r="G261" s="13" t="n">
        <x:v>1</x:v>
      </x:c>
      <x:c r="H261" s="13" t="n">
        <x:v>1</x:v>
      </x:c>
      <x:c r="I261" s="13" t="n">
        <x:v>1</x:v>
      </x:c>
      <x:c r="J261" s="2" t="str">
        <x:v>通过</x:v>
      </x:c>
      <x:c r="K261" s="2" t="str">
        <x:v>nonempty</x:v>
      </x:c>
      <x:c r="L261" s="2" t="str">
        <x:v>resolved</x:v>
      </x:c>
      <x:c r="M261" s="11" t="n">
        <x:v>13</x:v>
      </x:c>
      <x:c r="N261" s="11" t="n">
        <x:v>115581</x:v>
      </x:c>
      <x:c r="O261" s="12" t="n">
        <x:v>41.496</x:v>
      </x:c>
      <x:c r="P261" s="9" t="str"/>
      <x:c r="Q261" s="9" t="str">
        <x:v>task_output-wsl/lite-baseline-001/instances/sympy__sympy-12454/attempt-0001/state.json</x:v>
      </x:c>
      <x:c r="R261" s="2" t="n">
        <x:v>1</x:v>
      </x:c>
    </x:row>
    <x:row r="262" ht="44" customHeight="1">
      <x:c r="A262" s="2" t="str">
        <x:v>sympy__sympy-12481</x:v>
      </x:c>
      <x:c r="B262" s="2" t="str">
        <x:v>sympy/sympy</x:v>
      </x:c>
      <x:c r="C262" s="2" t="str">
        <x:v>attempt-0001</x:v>
      </x:c>
      <x:c r="D262" s="2" t="str">
        <x:v>resolved</x:v>
      </x:c>
      <x:c r="E262" s="2" t="str">
        <x:v>finished</x:v>
      </x:c>
      <x:c r="F262" s="2" t="str">
        <x:v>completed</x:v>
      </x:c>
      <x:c r="G262" s="13" t="n">
        <x:v>1</x:v>
      </x:c>
      <x:c r="H262" s="13" t="n">
        <x:v>1</x:v>
      </x:c>
      <x:c r="I262" s="13" t="n">
        <x:v>1</x:v>
      </x:c>
      <x:c r="J262" s="2" t="str">
        <x:v>通过</x:v>
      </x:c>
      <x:c r="K262" s="2" t="str">
        <x:v>nonempty</x:v>
      </x:c>
      <x:c r="L262" s="2" t="str">
        <x:v>resolved</x:v>
      </x:c>
      <x:c r="M262" s="11" t="n">
        <x:v>32</x:v>
      </x:c>
      <x:c r="N262" s="11" t="n">
        <x:v>375637</x:v>
      </x:c>
      <x:c r="O262" s="12" t="n">
        <x:v>92.771</x:v>
      </x:c>
      <x:c r="P262" s="9" t="str"/>
      <x:c r="Q262" s="9" t="str">
        <x:v>task_output-wsl/lite-baseline-001/instances/sympy__sympy-12481/attempt-0001/state.json</x:v>
      </x:c>
      <x:c r="R262" s="2" t="n">
        <x:v>1</x:v>
      </x:c>
    </x:row>
    <x:row r="263" ht="44" customHeight="1">
      <x:c r="A263" s="2" t="str">
        <x:v>sympy__sympy-13031</x:v>
      </x:c>
      <x:c r="B263" s="2" t="str">
        <x:v>sympy/sympy</x:v>
      </x:c>
      <x:c r="C263" s="2" t="str">
        <x:v>attempt-0001</x:v>
      </x:c>
      <x:c r="D263" s="2" t="str">
        <x:v>resolved</x:v>
      </x:c>
      <x:c r="E263" s="2" t="str">
        <x:v>finished</x:v>
      </x:c>
      <x:c r="F263" s="2" t="str">
        <x:v>limit</x:v>
      </x:c>
      <x:c r="G263" s="13" t="n">
        <x:v>1</x:v>
      </x:c>
      <x:c r="H263" s="13" t="n">
        <x:v>1</x:v>
      </x:c>
      <x:c r="I263" s="13" t="n">
        <x:v>1</x:v>
      </x:c>
      <x:c r="J263" s="2" t="str">
        <x:v>通过</x:v>
      </x:c>
      <x:c r="K263" s="2" t="str">
        <x:v>nonempty</x:v>
      </x:c>
      <x:c r="L263" s="2" t="str">
        <x:v>resolved</x:v>
      </x:c>
      <x:c r="M263" s="11" t="n">
        <x:v>62</x:v>
      </x:c>
      <x:c r="N263" s="11" t="n">
        <x:v>769728</x:v>
      </x:c>
      <x:c r="O263" s="12" t="n">
        <x:v>171.525</x:v>
      </x:c>
      <x:c r="P263" s="9" t="str">
        <x:v>Lead model-turn limit reached.</x:v>
      </x:c>
      <x:c r="Q263" s="9" t="str">
        <x:v>task_output-wsl/lite-baseline-001/instances/sympy__sympy-13031/attempt-0001/state.json</x:v>
      </x:c>
      <x:c r="R263" s="2" t="n">
        <x:v>1</x:v>
      </x:c>
    </x:row>
    <x:row r="264" ht="44" customHeight="1">
      <x:c r="A264" s="2" t="str">
        <x:v>sympy__sympy-13043</x:v>
      </x:c>
      <x:c r="B264" s="2" t="str">
        <x:v>sympy/sympy</x:v>
      </x:c>
      <x:c r="C264" s="2" t="str">
        <x:v>attempt-0001</x:v>
      </x:c>
      <x:c r="D264" s="2" t="str">
        <x:v>unresolved</x:v>
      </x:c>
      <x:c r="E264" s="2" t="str">
        <x:v>finished</x:v>
      </x:c>
      <x:c r="F264" s="2" t="str">
        <x:v>completed</x:v>
      </x:c>
      <x:c r="G264" s="13" t="n">
        <x:v>1</x:v>
      </x:c>
      <x:c r="H264" s="13" t="n">
        <x:v>1</x:v>
      </x:c>
      <x:c r="I264" s="13" t="n">
        <x:v>1</x:v>
      </x:c>
      <x:c r="J264" s="2" t="str">
        <x:v>通过</x:v>
      </x:c>
      <x:c r="K264" s="2" t="str">
        <x:v>nonempty</x:v>
      </x:c>
      <x:c r="L264" s="2" t="str">
        <x:v>unresolved</x:v>
      </x:c>
      <x:c r="M264" s="11" t="n">
        <x:v>43</x:v>
      </x:c>
      <x:c r="N264" s="11" t="n">
        <x:v>470107</x:v>
      </x:c>
      <x:c r="O264" s="12" t="n">
        <x:v>203.791</x:v>
      </x:c>
      <x:c r="P264" s="9" t="str"/>
      <x:c r="Q264" s="9" t="str">
        <x:v>task_output-wsl/lite-baseline-001/instances/sympy__sympy-13043/attempt-0001/state.json</x:v>
      </x:c>
      <x:c r="R264" s="2" t="n">
        <x:v>1</x:v>
      </x:c>
    </x:row>
    <x:row r="265" ht="44" customHeight="1">
      <x:c r="A265" s="2" t="str">
        <x:v>sympy__sympy-13146</x:v>
      </x:c>
      <x:c r="B265" s="2" t="str">
        <x:v>sympy/sympy</x:v>
      </x:c>
      <x:c r="C265" s="2" t="str">
        <x:v>attempt-0001</x:v>
      </x:c>
      <x:c r="D265" s="2" t="str">
        <x:v>resolved</x:v>
      </x:c>
      <x:c r="E265" s="2" t="str">
        <x:v>finished</x:v>
      </x:c>
      <x:c r="F265" s="2" t="str">
        <x:v>limit</x:v>
      </x:c>
      <x:c r="G265" s="13" t="n">
        <x:v>1</x:v>
      </x:c>
      <x:c r="H265" s="13" t="n">
        <x:v>1</x:v>
      </x:c>
      <x:c r="I265" s="13" t="n">
        <x:v>1</x:v>
      </x:c>
      <x:c r="J265" s="2" t="str">
        <x:v>通过</x:v>
      </x:c>
      <x:c r="K265" s="2" t="str">
        <x:v>nonempty</x:v>
      </x:c>
      <x:c r="L265" s="2" t="str">
        <x:v>resolved</x:v>
      </x:c>
      <x:c r="M265" s="11" t="n">
        <x:v>60</x:v>
      </x:c>
      <x:c r="N265" s="11" t="n">
        <x:v>739252</x:v>
      </x:c>
      <x:c r="O265" s="12" t="n">
        <x:v>148.156</x:v>
      </x:c>
      <x:c r="P265" s="9" t="str">
        <x:v>Lead model-turn limit reached.</x:v>
      </x:c>
      <x:c r="Q265" s="9" t="str">
        <x:v>task_output-wsl/lite-baseline-001/instances/sympy__sympy-13146/attempt-0001/state.json</x:v>
      </x:c>
      <x:c r="R265" s="2" t="n">
        <x:v>1</x:v>
      </x:c>
    </x:row>
    <x:row r="266" ht="44" customHeight="1">
      <x:c r="A266" s="2" t="str">
        <x:v>sympy__sympy-13177</x:v>
      </x:c>
      <x:c r="B266" s="2" t="str">
        <x:v>sympy/sympy</x:v>
      </x:c>
      <x:c r="C266" s="2" t="str">
        <x:v>attempt-0001</x:v>
      </x:c>
      <x:c r="D266" s="2" t="str">
        <x:v>unresolved</x:v>
      </x:c>
      <x:c r="E266" s="2" t="str">
        <x:v>finished</x:v>
      </x:c>
      <x:c r="F266" s="2" t="str">
        <x:v>limit</x:v>
      </x:c>
      <x:c r="G266" s="13" t="n">
        <x:v>1</x:v>
      </x:c>
      <x:c r="H266" s="13" t="n">
        <x:v>1</x:v>
      </x:c>
      <x:c r="I266" s="13" t="n">
        <x:v>1</x:v>
      </x:c>
      <x:c r="J266" s="2" t="str">
        <x:v>通过</x:v>
      </x:c>
      <x:c r="K266" s="2" t="str">
        <x:v>nonempty</x:v>
      </x:c>
      <x:c r="L266" s="2" t="str">
        <x:v>unresolved</x:v>
      </x:c>
      <x:c r="M266" s="11" t="n">
        <x:v>62</x:v>
      </x:c>
      <x:c r="N266" s="11" t="n">
        <x:v>714962</x:v>
      </x:c>
      <x:c r="O266" s="12" t="n">
        <x:v>172.541</x:v>
      </x:c>
      <x:c r="P266" s="9" t="str">
        <x:v>Lead model-turn limit reached.</x:v>
      </x:c>
      <x:c r="Q266" s="9" t="str">
        <x:v>task_output-wsl/lite-baseline-001/instances/sympy__sympy-13177/attempt-0001/state.json</x:v>
      </x:c>
      <x:c r="R266" s="2" t="n">
        <x:v>1</x:v>
      </x:c>
    </x:row>
    <x:row r="267" ht="44" customHeight="1">
      <x:c r="A267" s="2" t="str">
        <x:v>sympy__sympy-13437</x:v>
      </x:c>
      <x:c r="B267" s="2" t="str">
        <x:v>sympy/sympy</x:v>
      </x:c>
      <x:c r="C267" s="2" t="str">
        <x:v>attempt-0001</x:v>
      </x:c>
      <x:c r="D267" s="2" t="str">
        <x:v>unresolved</x:v>
      </x:c>
      <x:c r="E267" s="2" t="str">
        <x:v>finished</x:v>
      </x:c>
      <x:c r="F267" s="2" t="str">
        <x:v>completed</x:v>
      </x:c>
      <x:c r="G267" s="13" t="n">
        <x:v>1</x:v>
      </x:c>
      <x:c r="H267" s="13" t="n">
        <x:v>1</x:v>
      </x:c>
      <x:c r="I267" s="13" t="n">
        <x:v>1</x:v>
      </x:c>
      <x:c r="J267" s="2" t="str">
        <x:v>通过</x:v>
      </x:c>
      <x:c r="K267" s="2" t="str">
        <x:v>nonempty</x:v>
      </x:c>
      <x:c r="L267" s="2" t="str">
        <x:v>unresolved</x:v>
      </x:c>
      <x:c r="M267" s="11" t="n">
        <x:v>9</x:v>
      </x:c>
      <x:c r="N267" s="11" t="n">
        <x:v>71878</x:v>
      </x:c>
      <x:c r="O267" s="12" t="n">
        <x:v>19.477</x:v>
      </x:c>
      <x:c r="P267" s="9" t="str"/>
      <x:c r="Q267" s="9" t="str">
        <x:v>task_output-wsl/lite-baseline-001/instances/sympy__sympy-13437/attempt-0001/state.json</x:v>
      </x:c>
      <x:c r="R267" s="2" t="n">
        <x:v>1</x:v>
      </x:c>
    </x:row>
    <x:row r="268" ht="44" customHeight="1">
      <x:c r="A268" s="2" t="str">
        <x:v>sympy__sympy-13471</x:v>
      </x:c>
      <x:c r="B268" s="2" t="str">
        <x:v>sympy/sympy</x:v>
      </x:c>
      <x:c r="C268" s="2" t="str">
        <x:v>attempt-0001</x:v>
      </x:c>
      <x:c r="D268" s="2" t="str">
        <x:v>resolved</x:v>
      </x:c>
      <x:c r="E268" s="2" t="str">
        <x:v>finished</x:v>
      </x:c>
      <x:c r="F268" s="2" t="str">
        <x:v>completed</x:v>
      </x:c>
      <x:c r="G268" s="13" t="n">
        <x:v>1</x:v>
      </x:c>
      <x:c r="H268" s="13" t="n">
        <x:v>1</x:v>
      </x:c>
      <x:c r="I268" s="13" t="n">
        <x:v>1</x:v>
      </x:c>
      <x:c r="J268" s="2" t="str">
        <x:v>通过</x:v>
      </x:c>
      <x:c r="K268" s="2" t="str">
        <x:v>nonempty</x:v>
      </x:c>
      <x:c r="L268" s="2" t="str">
        <x:v>resolved</x:v>
      </x:c>
      <x:c r="M268" s="11" t="n">
        <x:v>28</x:v>
      </x:c>
      <x:c r="N268" s="11" t="n">
        <x:v>290281</x:v>
      </x:c>
      <x:c r="O268" s="12" t="n">
        <x:v>97.719</x:v>
      </x:c>
      <x:c r="P268" s="9" t="str"/>
      <x:c r="Q268" s="9" t="str">
        <x:v>task_output-wsl/lite-baseline-001/instances/sympy__sympy-13471/attempt-0001/state.json</x:v>
      </x:c>
      <x:c r="R268" s="2" t="n">
        <x:v>1</x:v>
      </x:c>
    </x:row>
    <x:row r="269" ht="44" customHeight="1">
      <x:c r="A269" s="2" t="str">
        <x:v>sympy__sympy-13480</x:v>
      </x:c>
      <x:c r="B269" s="2" t="str">
        <x:v>sympy/sympy</x:v>
      </x:c>
      <x:c r="C269" s="2" t="str">
        <x:v>attempt-0001</x:v>
      </x:c>
      <x:c r="D269" s="2" t="str">
        <x:v>resolved</x:v>
      </x:c>
      <x:c r="E269" s="2" t="str">
        <x:v>finished</x:v>
      </x:c>
      <x:c r="F269" s="2" t="str">
        <x:v>completed</x:v>
      </x:c>
      <x:c r="G269" s="13" t="n">
        <x:v>1</x:v>
      </x:c>
      <x:c r="H269" s="13" t="n">
        <x:v>1</x:v>
      </x:c>
      <x:c r="I269" s="13" t="n">
        <x:v>1</x:v>
      </x:c>
      <x:c r="J269" s="2" t="str">
        <x:v>通过</x:v>
      </x:c>
      <x:c r="K269" s="2" t="str">
        <x:v>nonempty</x:v>
      </x:c>
      <x:c r="L269" s="2" t="str">
        <x:v>resolved</x:v>
      </x:c>
      <x:c r="M269" s="11" t="n">
        <x:v>15</x:v>
      </x:c>
      <x:c r="N269" s="11" t="n">
        <x:v>116092</x:v>
      </x:c>
      <x:c r="O269" s="12" t="n">
        <x:v>30.141</x:v>
      </x:c>
      <x:c r="P269" s="9" t="str"/>
      <x:c r="Q269" s="9" t="str">
        <x:v>task_output-wsl/lite-baseline-001/instances/sympy__sympy-13480/attempt-0001/state.json</x:v>
      </x:c>
      <x:c r="R269" s="2" t="n">
        <x:v>1</x:v>
      </x:c>
    </x:row>
    <x:row r="270" ht="44" customHeight="1">
      <x:c r="A270" s="2" t="str">
        <x:v>sympy__sympy-13647</x:v>
      </x:c>
      <x:c r="B270" s="2" t="str">
        <x:v>sympy/sympy</x:v>
      </x:c>
      <x:c r="C270" s="2" t="str">
        <x:v>attempt-0001</x:v>
      </x:c>
      <x:c r="D270" s="2" t="str">
        <x:v>resolved</x:v>
      </x:c>
      <x:c r="E270" s="2" t="str">
        <x:v>finished</x:v>
      </x:c>
      <x:c r="F270" s="2" t="str">
        <x:v>completed</x:v>
      </x:c>
      <x:c r="G270" s="13" t="n">
        <x:v>1</x:v>
      </x:c>
      <x:c r="H270" s="13" t="n">
        <x:v>1</x:v>
      </x:c>
      <x:c r="I270" s="13" t="n">
        <x:v>1</x:v>
      </x:c>
      <x:c r="J270" s="2" t="str">
        <x:v>通过</x:v>
      </x:c>
      <x:c r="K270" s="2" t="str">
        <x:v>nonempty</x:v>
      </x:c>
      <x:c r="L270" s="2" t="str">
        <x:v>resolved</x:v>
      </x:c>
      <x:c r="M270" s="11" t="n">
        <x:v>24</x:v>
      </x:c>
      <x:c r="N270" s="11" t="n">
        <x:v>281391</x:v>
      </x:c>
      <x:c r="O270" s="12" t="n">
        <x:v>73.007</x:v>
      </x:c>
      <x:c r="P270" s="9" t="str"/>
      <x:c r="Q270" s="9" t="str">
        <x:v>task_output-wsl/lite-baseline-001/instances/sympy__sympy-13647/attempt-0001/state.json</x:v>
      </x:c>
      <x:c r="R270" s="2" t="n">
        <x:v>1</x:v>
      </x:c>
    </x:row>
    <x:row r="271" ht="44" customHeight="1">
      <x:c r="A271" s="2" t="str">
        <x:v>sympy__sympy-13773</x:v>
      </x:c>
      <x:c r="B271" s="2" t="str">
        <x:v>sympy/sympy</x:v>
      </x:c>
      <x:c r="C271" s="2" t="str">
        <x:v>attempt-0001</x:v>
      </x:c>
      <x:c r="D271" s="2" t="str">
        <x:v>unresolved</x:v>
      </x:c>
      <x:c r="E271" s="2" t="str">
        <x:v>finished</x:v>
      </x:c>
      <x:c r="F271" s="2" t="str">
        <x:v>limit</x:v>
      </x:c>
      <x:c r="G271" s="13" t="n">
        <x:v>1</x:v>
      </x:c>
      <x:c r="H271" s="13" t="n">
        <x:v>1</x:v>
      </x:c>
      <x:c r="I271" s="13" t="n">
        <x:v>1</x:v>
      </x:c>
      <x:c r="J271" s="2" t="str">
        <x:v>通过</x:v>
      </x:c>
      <x:c r="K271" s="2" t="str">
        <x:v>nonempty</x:v>
      </x:c>
      <x:c r="L271" s="2" t="str">
        <x:v>unresolved</x:v>
      </x:c>
      <x:c r="M271" s="11" t="n">
        <x:v>63</x:v>
      </x:c>
      <x:c r="N271" s="11" t="n">
        <x:v>736468</x:v>
      </x:c>
      <x:c r="O271" s="12" t="n">
        <x:v>193.672</x:v>
      </x:c>
      <x:c r="P271" s="9" t="str">
        <x:v>Lead model-turn limit reached.</x:v>
      </x:c>
      <x:c r="Q271" s="9" t="str">
        <x:v>task_output-wsl/lite-baseline-001/instances/sympy__sympy-13773/attempt-0001/state.json</x:v>
      </x:c>
      <x:c r="R271" s="2" t="n">
        <x:v>1</x:v>
      </x:c>
    </x:row>
    <x:row r="272" ht="44" customHeight="1">
      <x:c r="A272" s="2" t="str">
        <x:v>sympy__sympy-13895</x:v>
      </x:c>
      <x:c r="B272" s="2" t="str">
        <x:v>sympy/sympy</x:v>
      </x:c>
      <x:c r="C272" s="2" t="str">
        <x:v>attempt-0001</x:v>
      </x:c>
      <x:c r="D272" s="2" t="str">
        <x:v>empty_patch</x:v>
      </x:c>
      <x:c r="E272" s="2" t="str">
        <x:v>finished</x:v>
      </x:c>
      <x:c r="F272" s="2" t="str">
        <x:v>limit</x:v>
      </x:c>
      <x:c r="G272" s="13" t="n">
        <x:v>1</x:v>
      </x:c>
      <x:c r="H272" s="13" t="n">
        <x:v>1</x:v>
      </x:c>
      <x:c r="I272" s="13" t="n">
        <x:v>1</x:v>
      </x:c>
      <x:c r="J272" s="2" t="str">
        <x:v>通过</x:v>
      </x:c>
      <x:c r="K272" s="2" t="str">
        <x:v>empty</x:v>
      </x:c>
      <x:c r="L272" s="2" t="str">
        <x:v>not_run</x:v>
      </x:c>
      <x:c r="M272" s="11" t="n">
        <x:v>62</x:v>
      </x:c>
      <x:c r="N272" s="11" t="n">
        <x:v>775311</x:v>
      </x:c>
      <x:c r="O272" s="12" t="n">
        <x:v>176.416</x:v>
      </x:c>
      <x:c r="P272" s="9" t="str">
        <x:v>Lead model-turn limit reached.</x:v>
      </x:c>
      <x:c r="Q272" s="9" t="str">
        <x:v>task_output-wsl/lite-baseline-001/instances/sympy__sympy-13895/attempt-0001/state.json</x:v>
      </x:c>
      <x:c r="R272" s="2" t="n">
        <x:v>1</x:v>
      </x:c>
    </x:row>
    <x:row r="273" ht="44" customHeight="1">
      <x:c r="A273" s="2" t="str">
        <x:v>sympy__sympy-13915</x:v>
      </x:c>
      <x:c r="B273" s="2" t="str">
        <x:v>sympy/sympy</x:v>
      </x:c>
      <x:c r="C273" s="2" t="str">
        <x:v>attempt-0001</x:v>
      </x:c>
      <x:c r="D273" s="2" t="str">
        <x:v>resolved</x:v>
      </x:c>
      <x:c r="E273" s="2" t="str">
        <x:v>finished</x:v>
      </x:c>
      <x:c r="F273" s="2" t="str">
        <x:v>limit</x:v>
      </x:c>
      <x:c r="G273" s="13" t="n">
        <x:v>1</x:v>
      </x:c>
      <x:c r="H273" s="13" t="n">
        <x:v>1</x:v>
      </x:c>
      <x:c r="I273" s="13" t="n">
        <x:v>1</x:v>
      </x:c>
      <x:c r="J273" s="2" t="str">
        <x:v>通过</x:v>
      </x:c>
      <x:c r="K273" s="2" t="str">
        <x:v>nonempty</x:v>
      </x:c>
      <x:c r="L273" s="2" t="str">
        <x:v>resolved</x:v>
      </x:c>
      <x:c r="M273" s="11" t="n">
        <x:v>61</x:v>
      </x:c>
      <x:c r="N273" s="11" t="n">
        <x:v>695532</x:v>
      </x:c>
      <x:c r="O273" s="12" t="n">
        <x:v>184.844</x:v>
      </x:c>
      <x:c r="P273" s="9" t="str">
        <x:v>Lead model-turn limit reached.</x:v>
      </x:c>
      <x:c r="Q273" s="9" t="str">
        <x:v>task_output-wsl/lite-baseline-001/instances/sympy__sympy-13915/attempt-0001/state.json</x:v>
      </x:c>
      <x:c r="R273" s="2" t="n">
        <x:v>1</x:v>
      </x:c>
    </x:row>
    <x:row r="274" ht="44" customHeight="1">
      <x:c r="A274" s="2" t="str">
        <x:v>sympy__sympy-13971</x:v>
      </x:c>
      <x:c r="B274" s="2" t="str">
        <x:v>sympy/sympy</x:v>
      </x:c>
      <x:c r="C274" s="2" t="str">
        <x:v>attempt-0001</x:v>
      </x:c>
      <x:c r="D274" s="2" t="str">
        <x:v>resolved</x:v>
      </x:c>
      <x:c r="E274" s="2" t="str">
        <x:v>finished</x:v>
      </x:c>
      <x:c r="F274" s="2" t="str">
        <x:v>completed</x:v>
      </x:c>
      <x:c r="G274" s="13" t="n">
        <x:v>1</x:v>
      </x:c>
      <x:c r="H274" s="13" t="n">
        <x:v>1</x:v>
      </x:c>
      <x:c r="I274" s="13" t="n">
        <x:v>1</x:v>
      </x:c>
      <x:c r="J274" s="2" t="str">
        <x:v>通过</x:v>
      </x:c>
      <x:c r="K274" s="2" t="str">
        <x:v>nonempty</x:v>
      </x:c>
      <x:c r="L274" s="2" t="str">
        <x:v>resolved</x:v>
      </x:c>
      <x:c r="M274" s="11" t="n">
        <x:v>10</x:v>
      </x:c>
      <x:c r="N274" s="11" t="n">
        <x:v>72718</x:v>
      </x:c>
      <x:c r="O274" s="12" t="n">
        <x:v>18.267</x:v>
      </x:c>
      <x:c r="P274" s="9" t="str"/>
      <x:c r="Q274" s="9" t="str">
        <x:v>task_output-wsl/lite-baseline-001/instances/sympy__sympy-13971/attempt-0001/state.json</x:v>
      </x:c>
      <x:c r="R274" s="2" t="n">
        <x:v>1</x:v>
      </x:c>
    </x:row>
    <x:row r="275" ht="44" customHeight="1">
      <x:c r="A275" s="2" t="str">
        <x:v>sympy__sympy-14024</x:v>
      </x:c>
      <x:c r="B275" s="2" t="str">
        <x:v>sympy/sympy</x:v>
      </x:c>
      <x:c r="C275" s="2" t="str">
        <x:v>attempt-0001</x:v>
      </x:c>
      <x:c r="D275" s="2" t="str">
        <x:v>resolved</x:v>
      </x:c>
      <x:c r="E275" s="2" t="str">
        <x:v>finished</x:v>
      </x:c>
      <x:c r="F275" s="2" t="str">
        <x:v>limit</x:v>
      </x:c>
      <x:c r="G275" s="13" t="n">
        <x:v>1</x:v>
      </x:c>
      <x:c r="H275" s="13" t="n">
        <x:v>1</x:v>
      </x:c>
      <x:c r="I275" s="13" t="n">
        <x:v>1</x:v>
      </x:c>
      <x:c r="J275" s="2" t="str">
        <x:v>通过</x:v>
      </x:c>
      <x:c r="K275" s="2" t="str">
        <x:v>nonempty</x:v>
      </x:c>
      <x:c r="L275" s="2" t="str">
        <x:v>resolved</x:v>
      </x:c>
      <x:c r="M275" s="11" t="n">
        <x:v>64</x:v>
      </x:c>
      <x:c r="N275" s="11" t="n">
        <x:v>790602</x:v>
      </x:c>
      <x:c r="O275" s="12" t="n">
        <x:v>236.113</x:v>
      </x:c>
      <x:c r="P275" s="9" t="str">
        <x:v>Lead model-turn limit reached.</x:v>
      </x:c>
      <x:c r="Q275" s="9" t="str">
        <x:v>task_output-wsl/lite-baseline-001/instances/sympy__sympy-14024/attempt-0001/state.json</x:v>
      </x:c>
      <x:c r="R275" s="2" t="n">
        <x:v>1</x:v>
      </x:c>
    </x:row>
    <x:row r="276" ht="44" customHeight="1">
      <x:c r="A276" s="2" t="str">
        <x:v>sympy__sympy-14308</x:v>
      </x:c>
      <x:c r="B276" s="2" t="str">
        <x:v>sympy/sympy</x:v>
      </x:c>
      <x:c r="C276" s="2" t="str">
        <x:v>attempt-0001</x:v>
      </x:c>
      <x:c r="D276" s="2" t="str">
        <x:v>empty_patch</x:v>
      </x:c>
      <x:c r="E276" s="2" t="str">
        <x:v>finished</x:v>
      </x:c>
      <x:c r="F276" s="2" t="str">
        <x:v>limit</x:v>
      </x:c>
      <x:c r="G276" s="13" t="n">
        <x:v>1</x:v>
      </x:c>
      <x:c r="H276" s="13" t="n">
        <x:v>1</x:v>
      </x:c>
      <x:c r="I276" s="13" t="n">
        <x:v>1</x:v>
      </x:c>
      <x:c r="J276" s="2" t="str">
        <x:v>通过</x:v>
      </x:c>
      <x:c r="K276" s="2" t="str">
        <x:v>empty</x:v>
      </x:c>
      <x:c r="L276" s="2" t="str">
        <x:v>not_run</x:v>
      </x:c>
      <x:c r="M276" s="11" t="n">
        <x:v>63</x:v>
      </x:c>
      <x:c r="N276" s="11" t="n">
        <x:v>760172</x:v>
      </x:c>
      <x:c r="O276" s="12" t="n">
        <x:v>200.349</x:v>
      </x:c>
      <x:c r="P276" s="9" t="str">
        <x:v>Lead model-turn limit reached.</x:v>
      </x:c>
      <x:c r="Q276" s="9" t="str">
        <x:v>task_output-wsl/lite-baseline-001/instances/sympy__sympy-14308/attempt-0001/state.json</x:v>
      </x:c>
      <x:c r="R276" s="2" t="n">
        <x:v>1</x:v>
      </x:c>
    </x:row>
    <x:row r="277" ht="44" customHeight="1">
      <x:c r="A277" s="2" t="str">
        <x:v>sympy__sympy-14317</x:v>
      </x:c>
      <x:c r="B277" s="2" t="str">
        <x:v>sympy/sympy</x:v>
      </x:c>
      <x:c r="C277" s="2" t="str">
        <x:v>attempt-0001</x:v>
      </x:c>
      <x:c r="D277" s="2" t="str">
        <x:v>empty_patch</x:v>
      </x:c>
      <x:c r="E277" s="2" t="str">
        <x:v>finished</x:v>
      </x:c>
      <x:c r="F277" s="2" t="str">
        <x:v>completed</x:v>
      </x:c>
      <x:c r="G277" s="13" t="n">
        <x:v>1</x:v>
      </x:c>
      <x:c r="H277" s="13" t="n">
        <x:v>1</x:v>
      </x:c>
      <x:c r="I277" s="13" t="n">
        <x:v>1</x:v>
      </x:c>
      <x:c r="J277" s="2" t="str">
        <x:v>通过</x:v>
      </x:c>
      <x:c r="K277" s="2" t="str">
        <x:v>empty</x:v>
      </x:c>
      <x:c r="L277" s="2" t="str">
        <x:v>not_run</x:v>
      </x:c>
      <x:c r="M277" s="11" t="n">
        <x:v>51</x:v>
      </x:c>
      <x:c r="N277" s="11" t="n">
        <x:v>601313</x:v>
      </x:c>
      <x:c r="O277" s="12" t="n">
        <x:v>127.938</x:v>
      </x:c>
      <x:c r="P277" s="9" t="str">
        <x:v>Runner collected no working-tree changes.</x:v>
      </x:c>
      <x:c r="Q277" s="9" t="str">
        <x:v>task_output-wsl/lite-baseline-001/instances/sympy__sympy-14317/attempt-0001/state.json</x:v>
      </x:c>
      <x:c r="R277" s="2" t="n">
        <x:v>1</x:v>
      </x:c>
    </x:row>
    <x:row r="278" ht="44" customHeight="1">
      <x:c r="A278" s="2" t="str">
        <x:v>sympy__sympy-14396</x:v>
      </x:c>
      <x:c r="B278" s="2" t="str">
        <x:v>sympy/sympy</x:v>
      </x:c>
      <x:c r="C278" s="2" t="str">
        <x:v>attempt-0001</x:v>
      </x:c>
      <x:c r="D278" s="2" t="str">
        <x:v>empty_patch</x:v>
      </x:c>
      <x:c r="E278" s="2" t="str">
        <x:v>finished</x:v>
      </x:c>
      <x:c r="F278" s="2" t="str">
        <x:v>completed</x:v>
      </x:c>
      <x:c r="G278" s="13" t="n">
        <x:v>1</x:v>
      </x:c>
      <x:c r="H278" s="13" t="n">
        <x:v>1</x:v>
      </x:c>
      <x:c r="I278" s="13" t="n">
        <x:v>1</x:v>
      </x:c>
      <x:c r="J278" s="2" t="str">
        <x:v>通过</x:v>
      </x:c>
      <x:c r="K278" s="2" t="str">
        <x:v>empty</x:v>
      </x:c>
      <x:c r="L278" s="2" t="str">
        <x:v>not_run</x:v>
      </x:c>
      <x:c r="M278" s="11" t="n">
        <x:v>16</x:v>
      </x:c>
      <x:c r="N278" s="11" t="n">
        <x:v>182041</x:v>
      </x:c>
      <x:c r="O278" s="12" t="n">
        <x:v>58.11</x:v>
      </x:c>
      <x:c r="P278" s="9" t="str">
        <x:v>Runner collected no working-tree changes.</x:v>
      </x:c>
      <x:c r="Q278" s="9" t="str">
        <x:v>task_output-wsl/lite-baseline-001/instances/sympy__sympy-14396/attempt-0001/state.json</x:v>
      </x:c>
      <x:c r="R278" s="2" t="n">
        <x:v>1</x:v>
      </x:c>
    </x:row>
    <x:row r="279" ht="44" customHeight="1">
      <x:c r="A279" s="2" t="str">
        <x:v>sympy__sympy-14774</x:v>
      </x:c>
      <x:c r="B279" s="2" t="str">
        <x:v>sympy/sympy</x:v>
      </x:c>
      <x:c r="C279" s="2" t="str">
        <x:v>attempt-0001</x:v>
      </x:c>
      <x:c r="D279" s="2" t="str">
        <x:v>resolved</x:v>
      </x:c>
      <x:c r="E279" s="2" t="str">
        <x:v>finished</x:v>
      </x:c>
      <x:c r="F279" s="2" t="str">
        <x:v>completed</x:v>
      </x:c>
      <x:c r="G279" s="13" t="n">
        <x:v>1</x:v>
      </x:c>
      <x:c r="H279" s="13" t="n">
        <x:v>1</x:v>
      </x:c>
      <x:c r="I279" s="13" t="n">
        <x:v>1</x:v>
      </x:c>
      <x:c r="J279" s="2" t="str">
        <x:v>通过</x:v>
      </x:c>
      <x:c r="K279" s="2" t="str">
        <x:v>nonempty</x:v>
      </x:c>
      <x:c r="L279" s="2" t="str">
        <x:v>resolved</x:v>
      </x:c>
      <x:c r="M279" s="11" t="n">
        <x:v>16</x:v>
      </x:c>
      <x:c r="N279" s="11" t="n">
        <x:v>101907</x:v>
      </x:c>
      <x:c r="O279" s="12" t="n">
        <x:v>23.96</x:v>
      </x:c>
      <x:c r="P279" s="9" t="str"/>
      <x:c r="Q279" s="9" t="str">
        <x:v>task_output-wsl/lite-baseline-001/instances/sympy__sympy-14774/attempt-0001/state.json</x:v>
      </x:c>
      <x:c r="R279" s="2" t="n">
        <x:v>1</x:v>
      </x:c>
    </x:row>
    <x:row r="280" ht="44" customHeight="1">
      <x:c r="A280" s="2" t="str">
        <x:v>sympy__sympy-14817</x:v>
      </x:c>
      <x:c r="B280" s="2" t="str">
        <x:v>sympy/sympy</x:v>
      </x:c>
      <x:c r="C280" s="2" t="str">
        <x:v>attempt-0001</x:v>
      </x:c>
      <x:c r="D280" s="2" t="str">
        <x:v>resolved</x:v>
      </x:c>
      <x:c r="E280" s="2" t="str">
        <x:v>finished</x:v>
      </x:c>
      <x:c r="F280" s="2" t="str">
        <x:v>completed</x:v>
      </x:c>
      <x:c r="G280" s="13" t="n">
        <x:v>1</x:v>
      </x:c>
      <x:c r="H280" s="13" t="n">
        <x:v>1</x:v>
      </x:c>
      <x:c r="I280" s="13" t="n">
        <x:v>1</x:v>
      </x:c>
      <x:c r="J280" s="2" t="str">
        <x:v>通过</x:v>
      </x:c>
      <x:c r="K280" s="2" t="str">
        <x:v>nonempty</x:v>
      </x:c>
      <x:c r="L280" s="2" t="str">
        <x:v>resolved</x:v>
      </x:c>
      <x:c r="M280" s="11" t="n">
        <x:v>41</x:v>
      </x:c>
      <x:c r="N280" s="11" t="n">
        <x:v>421453</x:v>
      </x:c>
      <x:c r="O280" s="12" t="n">
        <x:v>92.166</x:v>
      </x:c>
      <x:c r="P280" s="9" t="str"/>
      <x:c r="Q280" s="9" t="str">
        <x:v>task_output-wsl/lite-baseline-001/instances/sympy__sympy-14817/attempt-0001/state.json</x:v>
      </x:c>
      <x:c r="R280" s="2" t="n">
        <x:v>1</x:v>
      </x:c>
    </x:row>
    <x:row r="281" ht="44" customHeight="1">
      <x:c r="A281" s="2" t="str">
        <x:v>sympy__sympy-15011</x:v>
      </x:c>
      <x:c r="B281" s="2" t="str">
        <x:v>sympy/sympy</x:v>
      </x:c>
      <x:c r="C281" s="2" t="str">
        <x:v>attempt-0001</x:v>
      </x:c>
      <x:c r="D281" s="2" t="str">
        <x:v>resolved</x:v>
      </x:c>
      <x:c r="E281" s="2" t="str">
        <x:v>finished</x:v>
      </x:c>
      <x:c r="F281" s="2" t="str">
        <x:v>completed</x:v>
      </x:c>
      <x:c r="G281" s="13" t="n">
        <x:v>1</x:v>
      </x:c>
      <x:c r="H281" s="13" t="n">
        <x:v>1</x:v>
      </x:c>
      <x:c r="I281" s="13" t="n">
        <x:v>1</x:v>
      </x:c>
      <x:c r="J281" s="2" t="str">
        <x:v>通过</x:v>
      </x:c>
      <x:c r="K281" s="2" t="str">
        <x:v>nonempty</x:v>
      </x:c>
      <x:c r="L281" s="2" t="str">
        <x:v>resolved</x:v>
      </x:c>
      <x:c r="M281" s="11" t="n">
        <x:v>31</x:v>
      </x:c>
      <x:c r="N281" s="11" t="n">
        <x:v>350996</x:v>
      </x:c>
      <x:c r="O281" s="12" t="n">
        <x:v>98.127</x:v>
      </x:c>
      <x:c r="P281" s="9" t="str"/>
      <x:c r="Q281" s="9" t="str">
        <x:v>task_output-wsl/lite-baseline-001/instances/sympy__sympy-15011/attempt-0001/state.json</x:v>
      </x:c>
      <x:c r="R281" s="2" t="n">
        <x:v>1</x:v>
      </x:c>
    </x:row>
    <x:row r="282" ht="44" customHeight="1">
      <x:c r="A282" s="2" t="str">
        <x:v>sympy__sympy-15308</x:v>
      </x:c>
      <x:c r="B282" s="2" t="str">
        <x:v>sympy/sympy</x:v>
      </x:c>
      <x:c r="C282" s="2" t="str">
        <x:v>attempt-0001</x:v>
      </x:c>
      <x:c r="D282" s="2" t="str">
        <x:v>unresolved</x:v>
      </x:c>
      <x:c r="E282" s="2" t="str">
        <x:v>finished</x:v>
      </x:c>
      <x:c r="F282" s="2" t="str">
        <x:v>completed</x:v>
      </x:c>
      <x:c r="G282" s="13" t="n">
        <x:v>1</x:v>
      </x:c>
      <x:c r="H282" s="13" t="n">
        <x:v>1</x:v>
      </x:c>
      <x:c r="I282" s="13" t="n">
        <x:v>1</x:v>
      </x:c>
      <x:c r="J282" s="2" t="str">
        <x:v>通过</x:v>
      </x:c>
      <x:c r="K282" s="2" t="str">
        <x:v>nonempty</x:v>
      </x:c>
      <x:c r="L282" s="2" t="str">
        <x:v>unresolved</x:v>
      </x:c>
      <x:c r="M282" s="11" t="n">
        <x:v>29</x:v>
      </x:c>
      <x:c r="N282" s="11" t="n">
        <x:v>288843</x:v>
      </x:c>
      <x:c r="O282" s="12" t="n">
        <x:v>77.007</x:v>
      </x:c>
      <x:c r="P282" s="9" t="str"/>
      <x:c r="Q282" s="9" t="str">
        <x:v>task_output-wsl/lite-baseline-001/instances/sympy__sympy-15308/attempt-0001/state.json</x:v>
      </x:c>
      <x:c r="R282" s="2" t="n">
        <x:v>1</x:v>
      </x:c>
    </x:row>
    <x:row r="283" ht="44" customHeight="1">
      <x:c r="A283" s="2" t="str">
        <x:v>sympy__sympy-15345</x:v>
      </x:c>
      <x:c r="B283" s="2" t="str">
        <x:v>sympy/sympy</x:v>
      </x:c>
      <x:c r="C283" s="2" t="str">
        <x:v>attempt-0001</x:v>
      </x:c>
      <x:c r="D283" s="2" t="str">
        <x:v>resolved</x:v>
      </x:c>
      <x:c r="E283" s="2" t="str">
        <x:v>finished</x:v>
      </x:c>
      <x:c r="F283" s="2" t="str">
        <x:v>completed</x:v>
      </x:c>
      <x:c r="G283" s="13" t="n">
        <x:v>1</x:v>
      </x:c>
      <x:c r="H283" s="13" t="n">
        <x:v>1</x:v>
      </x:c>
      <x:c r="I283" s="13" t="n">
        <x:v>1</x:v>
      </x:c>
      <x:c r="J283" s="2" t="str">
        <x:v>通过</x:v>
      </x:c>
      <x:c r="K283" s="2" t="str">
        <x:v>nonempty</x:v>
      </x:c>
      <x:c r="L283" s="2" t="str">
        <x:v>resolved</x:v>
      </x:c>
      <x:c r="M283" s="11" t="n">
        <x:v>16</x:v>
      </x:c>
      <x:c r="N283" s="11" t="n">
        <x:v>114663</x:v>
      </x:c>
      <x:c r="O283" s="12" t="n">
        <x:v>31.369</x:v>
      </x:c>
      <x:c r="P283" s="9" t="str"/>
      <x:c r="Q283" s="9" t="str">
        <x:v>task_output-wsl/lite-baseline-001/instances/sympy__sympy-15345/attempt-0001/state.json</x:v>
      </x:c>
      <x:c r="R283" s="2" t="n">
        <x:v>1</x:v>
      </x:c>
    </x:row>
    <x:row r="284" ht="44" customHeight="1">
      <x:c r="A284" s="2" t="str">
        <x:v>sympy__sympy-15346</x:v>
      </x:c>
      <x:c r="B284" s="2" t="str">
        <x:v>sympy/sympy</x:v>
      </x:c>
      <x:c r="C284" s="2" t="str">
        <x:v>attempt-0001</x:v>
      </x:c>
      <x:c r="D284" s="2" t="str">
        <x:v>resolved</x:v>
      </x:c>
      <x:c r="E284" s="2" t="str">
        <x:v>finished</x:v>
      </x:c>
      <x:c r="F284" s="2" t="str">
        <x:v>limit</x:v>
      </x:c>
      <x:c r="G284" s="13" t="n">
        <x:v>1</x:v>
      </x:c>
      <x:c r="H284" s="13" t="n">
        <x:v>1</x:v>
      </x:c>
      <x:c r="I284" s="13" t="n">
        <x:v>1</x:v>
      </x:c>
      <x:c r="J284" s="2" t="str">
        <x:v>通过</x:v>
      </x:c>
      <x:c r="K284" s="2" t="str">
        <x:v>nonempty</x:v>
      </x:c>
      <x:c r="L284" s="2" t="str">
        <x:v>resolved</x:v>
      </x:c>
      <x:c r="M284" s="11" t="n">
        <x:v>62</x:v>
      </x:c>
      <x:c r="N284" s="11" t="n">
        <x:v>725882</x:v>
      </x:c>
      <x:c r="O284" s="12" t="n">
        <x:v>198.119</x:v>
      </x:c>
      <x:c r="P284" s="9" t="str">
        <x:v>Lead model-turn limit reached.</x:v>
      </x:c>
      <x:c r="Q284" s="9" t="str">
        <x:v>task_output-wsl/lite-baseline-001/instances/sympy__sympy-15346/attempt-0001/state.json</x:v>
      </x:c>
      <x:c r="R284" s="2" t="n">
        <x:v>1</x:v>
      </x:c>
    </x:row>
    <x:row r="285" ht="44" customHeight="1">
      <x:c r="A285" s="2" t="str">
        <x:v>sympy__sympy-15609</x:v>
      </x:c>
      <x:c r="B285" s="2" t="str">
        <x:v>sympy/sympy</x:v>
      </x:c>
      <x:c r="C285" s="2" t="str">
        <x:v>attempt-0001</x:v>
      </x:c>
      <x:c r="D285" s="2" t="str">
        <x:v>resolved</x:v>
      </x:c>
      <x:c r="E285" s="2" t="str">
        <x:v>finished</x:v>
      </x:c>
      <x:c r="F285" s="2" t="str">
        <x:v>completed</x:v>
      </x:c>
      <x:c r="G285" s="13" t="n">
        <x:v>1</x:v>
      </x:c>
      <x:c r="H285" s="13" t="n">
        <x:v>1</x:v>
      </x:c>
      <x:c r="I285" s="13" t="n">
        <x:v>1</x:v>
      </x:c>
      <x:c r="J285" s="2" t="str">
        <x:v>通过</x:v>
      </x:c>
      <x:c r="K285" s="2" t="str">
        <x:v>nonempty</x:v>
      </x:c>
      <x:c r="L285" s="2" t="str">
        <x:v>resolved</x:v>
      </x:c>
      <x:c r="M285" s="11" t="n">
        <x:v>27</x:v>
      </x:c>
      <x:c r="N285" s="11" t="n">
        <x:v>258891</x:v>
      </x:c>
      <x:c r="O285" s="12" t="n">
        <x:v>68.309</x:v>
      </x:c>
      <x:c r="P285" s="9" t="str"/>
      <x:c r="Q285" s="9" t="str">
        <x:v>task_output-wsl/lite-baseline-001/instances/sympy__sympy-15609/attempt-0001/state.json</x:v>
      </x:c>
      <x:c r="R285" s="2" t="n">
        <x:v>1</x:v>
      </x:c>
    </x:row>
    <x:row r="286" ht="44" customHeight="1">
      <x:c r="A286" s="2" t="str">
        <x:v>sympy__sympy-15678</x:v>
      </x:c>
      <x:c r="B286" s="2" t="str">
        <x:v>sympy/sympy</x:v>
      </x:c>
      <x:c r="C286" s="2" t="str">
        <x:v>attempt-0001</x:v>
      </x:c>
      <x:c r="D286" s="2" t="str">
        <x:v>resolved</x:v>
      </x:c>
      <x:c r="E286" s="2" t="str">
        <x:v>finished</x:v>
      </x:c>
      <x:c r="F286" s="2" t="str">
        <x:v>completed</x:v>
      </x:c>
      <x:c r="G286" s="13" t="n">
        <x:v>1</x:v>
      </x:c>
      <x:c r="H286" s="13" t="n">
        <x:v>1</x:v>
      </x:c>
      <x:c r="I286" s="13" t="n">
        <x:v>1</x:v>
      </x:c>
      <x:c r="J286" s="2" t="str">
        <x:v>通过</x:v>
      </x:c>
      <x:c r="K286" s="2" t="str">
        <x:v>nonempty</x:v>
      </x:c>
      <x:c r="L286" s="2" t="str">
        <x:v>resolved</x:v>
      </x:c>
      <x:c r="M286" s="11" t="n">
        <x:v>14</x:v>
      </x:c>
      <x:c r="N286" s="11" t="n">
        <x:v>146869</x:v>
      </x:c>
      <x:c r="O286" s="12" t="n">
        <x:v>75.069</x:v>
      </x:c>
      <x:c r="P286" s="9" t="str"/>
      <x:c r="Q286" s="9" t="str">
        <x:v>task_output-wsl/lite-baseline-001/instances/sympy__sympy-15678/attempt-0001/state.json</x:v>
      </x:c>
      <x:c r="R286" s="2" t="n">
        <x:v>1</x:v>
      </x:c>
    </x:row>
    <x:row r="287" ht="44" customHeight="1">
      <x:c r="A287" s="2" t="str">
        <x:v>sympy__sympy-16106</x:v>
      </x:c>
      <x:c r="B287" s="2" t="str">
        <x:v>sympy/sympy</x:v>
      </x:c>
      <x:c r="C287" s="2" t="str">
        <x:v>attempt-0001</x:v>
      </x:c>
      <x:c r="D287" s="2" t="str">
        <x:v>resolved</x:v>
      </x:c>
      <x:c r="E287" s="2" t="str">
        <x:v>finished</x:v>
      </x:c>
      <x:c r="F287" s="2" t="str">
        <x:v>completed</x:v>
      </x:c>
      <x:c r="G287" s="13" t="n">
        <x:v>1</x:v>
      </x:c>
      <x:c r="H287" s="13" t="n">
        <x:v>1</x:v>
      </x:c>
      <x:c r="I287" s="13" t="n">
        <x:v>1</x:v>
      </x:c>
      <x:c r="J287" s="2" t="str">
        <x:v>通过</x:v>
      </x:c>
      <x:c r="K287" s="2" t="str">
        <x:v>nonempty</x:v>
      </x:c>
      <x:c r="L287" s="2" t="str">
        <x:v>resolved</x:v>
      </x:c>
      <x:c r="M287" s="11" t="n">
        <x:v>45</x:v>
      </x:c>
      <x:c r="N287" s="11" t="n">
        <x:v>492213</x:v>
      </x:c>
      <x:c r="O287" s="12" t="n">
        <x:v>110.723</x:v>
      </x:c>
      <x:c r="P287" s="9" t="str"/>
      <x:c r="Q287" s="9" t="str">
        <x:v>task_output-wsl/lite-baseline-001/instances/sympy__sympy-16106/attempt-0001/state.json</x:v>
      </x:c>
      <x:c r="R287" s="2" t="n">
        <x:v>1</x:v>
      </x:c>
    </x:row>
    <x:row r="288" ht="44" customHeight="1">
      <x:c r="A288" s="2" t="str">
        <x:v>sympy__sympy-16281</x:v>
      </x:c>
      <x:c r="B288" s="2" t="str">
        <x:v>sympy/sympy</x:v>
      </x:c>
      <x:c r="C288" s="2" t="str">
        <x:v>attempt-0001</x:v>
      </x:c>
      <x:c r="D288" s="2" t="str">
        <x:v>resolved</x:v>
      </x:c>
      <x:c r="E288" s="2" t="str">
        <x:v>finished</x:v>
      </x:c>
      <x:c r="F288" s="2" t="str">
        <x:v>completed</x:v>
      </x:c>
      <x:c r="G288" s="13" t="n">
        <x:v>1</x:v>
      </x:c>
      <x:c r="H288" s="13" t="n">
        <x:v>1</x:v>
      </x:c>
      <x:c r="I288" s="13" t="n">
        <x:v>1</x:v>
      </x:c>
      <x:c r="J288" s="2" t="str">
        <x:v>通过</x:v>
      </x:c>
      <x:c r="K288" s="2" t="str">
        <x:v>nonempty</x:v>
      </x:c>
      <x:c r="L288" s="2" t="str">
        <x:v>resolved</x:v>
      </x:c>
      <x:c r="M288" s="11" t="n">
        <x:v>50</x:v>
      </x:c>
      <x:c r="N288" s="11" t="n">
        <x:v>594140</x:v>
      </x:c>
      <x:c r="O288" s="12" t="n">
        <x:v>209.609</x:v>
      </x:c>
      <x:c r="P288" s="9" t="str"/>
      <x:c r="Q288" s="9" t="str">
        <x:v>task_output-wsl/lite-baseline-001/instances/sympy__sympy-16281/attempt-0001/state.json</x:v>
      </x:c>
      <x:c r="R288" s="2" t="n">
        <x:v>1</x:v>
      </x:c>
    </x:row>
    <x:row r="289" ht="44" customHeight="1">
      <x:c r="A289" s="2" t="str">
        <x:v>sympy__sympy-16503</x:v>
      </x:c>
      <x:c r="B289" s="2" t="str">
        <x:v>sympy/sympy</x:v>
      </x:c>
      <x:c r="C289" s="2" t="str">
        <x:v>attempt-0001</x:v>
      </x:c>
      <x:c r="D289" s="2" t="str">
        <x:v>empty_patch</x:v>
      </x:c>
      <x:c r="E289" s="2" t="str">
        <x:v>finished</x:v>
      </x:c>
      <x:c r="F289" s="2" t="str">
        <x:v>completed</x:v>
      </x:c>
      <x:c r="G289" s="13" t="n">
        <x:v>1</x:v>
      </x:c>
      <x:c r="H289" s="13" t="n">
        <x:v>1</x:v>
      </x:c>
      <x:c r="I289" s="13" t="n">
        <x:v>1</x:v>
      </x:c>
      <x:c r="J289" s="2" t="str">
        <x:v>通过</x:v>
      </x:c>
      <x:c r="K289" s="2" t="str">
        <x:v>empty</x:v>
      </x:c>
      <x:c r="L289" s="2" t="str">
        <x:v>not_run</x:v>
      </x:c>
      <x:c r="M289" s="11" t="n">
        <x:v>37</x:v>
      </x:c>
      <x:c r="N289" s="11" t="n">
        <x:v>405876</x:v>
      </x:c>
      <x:c r="O289" s="12" t="n">
        <x:v>166.899</x:v>
      </x:c>
      <x:c r="P289" s="9" t="str">
        <x:v>Runner collected no working-tree changes.</x:v>
      </x:c>
      <x:c r="Q289" s="9" t="str">
        <x:v>task_output-wsl/lite-baseline-001/instances/sympy__sympy-16503/attempt-0001/state.json</x:v>
      </x:c>
      <x:c r="R289" s="2" t="n">
        <x:v>1</x:v>
      </x:c>
    </x:row>
    <x:row r="290" ht="44" customHeight="1">
      <x:c r="A290" s="2" t="str">
        <x:v>sympy__sympy-16792</x:v>
      </x:c>
      <x:c r="B290" s="2" t="str">
        <x:v>sympy/sympy</x:v>
      </x:c>
      <x:c r="C290" s="2" t="str">
        <x:v>attempt-0001</x:v>
      </x:c>
      <x:c r="D290" s="2" t="str">
        <x:v>resolved</x:v>
      </x:c>
      <x:c r="E290" s="2" t="str">
        <x:v>finished</x:v>
      </x:c>
      <x:c r="F290" s="2" t="str">
        <x:v>limit</x:v>
      </x:c>
      <x:c r="G290" s="13" t="n">
        <x:v>1</x:v>
      </x:c>
      <x:c r="H290" s="13" t="n">
        <x:v>1</x:v>
      </x:c>
      <x:c r="I290" s="13" t="n">
        <x:v>1</x:v>
      </x:c>
      <x:c r="J290" s="2" t="str">
        <x:v>通过</x:v>
      </x:c>
      <x:c r="K290" s="2" t="str">
        <x:v>nonempty</x:v>
      </x:c>
      <x:c r="L290" s="2" t="str">
        <x:v>resolved</x:v>
      </x:c>
      <x:c r="M290" s="11" t="n">
        <x:v>62</x:v>
      </x:c>
      <x:c r="N290" s="11" t="n">
        <x:v>681369</x:v>
      </x:c>
      <x:c r="O290" s="12" t="n">
        <x:v>154.841</x:v>
      </x:c>
      <x:c r="P290" s="9" t="str">
        <x:v>Lead model-turn limit reached.</x:v>
      </x:c>
      <x:c r="Q290" s="9" t="str">
        <x:v>task_output-wsl/lite-baseline-001/instances/sympy__sympy-16792/attempt-0001/state.json</x:v>
      </x:c>
      <x:c r="R290" s="2" t="n">
        <x:v>1</x:v>
      </x:c>
    </x:row>
    <x:row r="291" ht="44" customHeight="1">
      <x:c r="A291" s="2" t="str">
        <x:v>sympy__sympy-16988</x:v>
      </x:c>
      <x:c r="B291" s="2" t="str">
        <x:v>sympy/sympy</x:v>
      </x:c>
      <x:c r="C291" s="2" t="str">
        <x:v>attempt-0001</x:v>
      </x:c>
      <x:c r="D291" s="2" t="str">
        <x:v>empty_patch</x:v>
      </x:c>
      <x:c r="E291" s="2" t="str">
        <x:v>finished</x:v>
      </x:c>
      <x:c r="F291" s="2" t="str">
        <x:v>limit</x:v>
      </x:c>
      <x:c r="G291" s="13" t="n">
        <x:v>1</x:v>
      </x:c>
      <x:c r="H291" s="13" t="n">
        <x:v>1</x:v>
      </x:c>
      <x:c r="I291" s="13" t="n">
        <x:v>1</x:v>
      </x:c>
      <x:c r="J291" s="2" t="str">
        <x:v>通过</x:v>
      </x:c>
      <x:c r="K291" s="2" t="str">
        <x:v>empty</x:v>
      </x:c>
      <x:c r="L291" s="2" t="str">
        <x:v>not_run</x:v>
      </x:c>
      <x:c r="M291" s="11" t="n">
        <x:v>62</x:v>
      </x:c>
      <x:c r="N291" s="11" t="n">
        <x:v>695068</x:v>
      </x:c>
      <x:c r="O291" s="12" t="n">
        <x:v>161.322</x:v>
      </x:c>
      <x:c r="P291" s="9" t="str">
        <x:v>Lead model-turn limit reached.</x:v>
      </x:c>
      <x:c r="Q291" s="9" t="str">
        <x:v>task_output-wsl/lite-baseline-001/instances/sympy__sympy-16988/attempt-0001/state.json</x:v>
      </x:c>
      <x:c r="R291" s="2" t="n">
        <x:v>1</x:v>
      </x:c>
    </x:row>
    <x:row r="292" ht="44" customHeight="1">
      <x:c r="A292" s="2" t="str">
        <x:v>sympy__sympy-17022</x:v>
      </x:c>
      <x:c r="B292" s="2" t="str">
        <x:v>sympy/sympy</x:v>
      </x:c>
      <x:c r="C292" s="2" t="str">
        <x:v>attempt-0001</x:v>
      </x:c>
      <x:c r="D292" s="2" t="str">
        <x:v>empty_patch</x:v>
      </x:c>
      <x:c r="E292" s="2" t="str">
        <x:v>finished</x:v>
      </x:c>
      <x:c r="F292" s="2" t="str">
        <x:v>limit</x:v>
      </x:c>
      <x:c r="G292" s="13" t="n">
        <x:v>1</x:v>
      </x:c>
      <x:c r="H292" s="13" t="n">
        <x:v>1</x:v>
      </x:c>
      <x:c r="I292" s="13" t="n">
        <x:v>1</x:v>
      </x:c>
      <x:c r="J292" s="2" t="str">
        <x:v>通过</x:v>
      </x:c>
      <x:c r="K292" s="2" t="str">
        <x:v>empty</x:v>
      </x:c>
      <x:c r="L292" s="2" t="str">
        <x:v>not_run</x:v>
      </x:c>
      <x:c r="M292" s="11" t="n">
        <x:v>63</x:v>
      </x:c>
      <x:c r="N292" s="11" t="n">
        <x:v>777147</x:v>
      </x:c>
      <x:c r="O292" s="12" t="n">
        <x:v>158.463</x:v>
      </x:c>
      <x:c r="P292" s="9" t="str">
        <x:v>Lead model-turn limit reached.</x:v>
      </x:c>
      <x:c r="Q292" s="9" t="str">
        <x:v>task_output-wsl/lite-baseline-001/instances/sympy__sympy-17022/attempt-0001/state.json</x:v>
      </x:c>
      <x:c r="R292" s="2" t="n">
        <x:v>1</x:v>
      </x:c>
    </x:row>
    <x:row r="293" ht="44" customHeight="1">
      <x:c r="A293" s="2" t="str">
        <x:v>sympy__sympy-17139</x:v>
      </x:c>
      <x:c r="B293" s="2" t="str">
        <x:v>sympy/sympy</x:v>
      </x:c>
      <x:c r="C293" s="2" t="str">
        <x:v>attempt-0001</x:v>
      </x:c>
      <x:c r="D293" s="2" t="str">
        <x:v>resolved</x:v>
      </x:c>
      <x:c r="E293" s="2" t="str">
        <x:v>finished</x:v>
      </x:c>
      <x:c r="F293" s="2" t="str">
        <x:v>completed</x:v>
      </x:c>
      <x:c r="G293" s="13" t="n">
        <x:v>1</x:v>
      </x:c>
      <x:c r="H293" s="13" t="n">
        <x:v>1</x:v>
      </x:c>
      <x:c r="I293" s="13" t="n">
        <x:v>1</x:v>
      </x:c>
      <x:c r="J293" s="2" t="str">
        <x:v>通过</x:v>
      </x:c>
      <x:c r="K293" s="2" t="str">
        <x:v>nonempty</x:v>
      </x:c>
      <x:c r="L293" s="2" t="str">
        <x:v>resolved</x:v>
      </x:c>
      <x:c r="M293" s="11" t="n">
        <x:v>15</x:v>
      </x:c>
      <x:c r="N293" s="11" t="n">
        <x:v>128197</x:v>
      </x:c>
      <x:c r="O293" s="12" t="n">
        <x:v>44.9</x:v>
      </x:c>
      <x:c r="P293" s="9" t="str"/>
      <x:c r="Q293" s="9" t="str">
        <x:v>task_output-wsl/lite-baseline-001/instances/sympy__sympy-17139/attempt-0001/state.json</x:v>
      </x:c>
      <x:c r="R293" s="2" t="n">
        <x:v>1</x:v>
      </x:c>
    </x:row>
    <x:row r="294" ht="44" customHeight="1">
      <x:c r="A294" s="2" t="str">
        <x:v>sympy__sympy-17630</x:v>
      </x:c>
      <x:c r="B294" s="2" t="str">
        <x:v>sympy/sympy</x:v>
      </x:c>
      <x:c r="C294" s="2" t="str">
        <x:v>attempt-0001</x:v>
      </x:c>
      <x:c r="D294" s="2" t="str">
        <x:v>unresolved</x:v>
      </x:c>
      <x:c r="E294" s="2" t="str">
        <x:v>finished</x:v>
      </x:c>
      <x:c r="F294" s="2" t="str">
        <x:v>limit</x:v>
      </x:c>
      <x:c r="G294" s="13" t="n">
        <x:v>1</x:v>
      </x:c>
      <x:c r="H294" s="13" t="n">
        <x:v>1</x:v>
      </x:c>
      <x:c r="I294" s="13" t="n">
        <x:v>1</x:v>
      </x:c>
      <x:c r="J294" s="2" t="str">
        <x:v>通过</x:v>
      </x:c>
      <x:c r="K294" s="2" t="str">
        <x:v>nonempty</x:v>
      </x:c>
      <x:c r="L294" s="2" t="str">
        <x:v>unresolved</x:v>
      </x:c>
      <x:c r="M294" s="11" t="n">
        <x:v>63</x:v>
      </x:c>
      <x:c r="N294" s="11" t="n">
        <x:v>765675</x:v>
      </x:c>
      <x:c r="O294" s="12" t="n">
        <x:v>164.991</x:v>
      </x:c>
      <x:c r="P294" s="9" t="str">
        <x:v>Lead model-turn limit reached.</x:v>
      </x:c>
      <x:c r="Q294" s="9" t="str">
        <x:v>task_output-wsl/lite-baseline-001/instances/sympy__sympy-17630/attempt-0001/state.json</x:v>
      </x:c>
      <x:c r="R294" s="2" t="n">
        <x:v>1</x:v>
      </x:c>
    </x:row>
    <x:row r="295" ht="44" customHeight="1">
      <x:c r="A295" s="2" t="str">
        <x:v>sympy__sympy-17655</x:v>
      </x:c>
      <x:c r="B295" s="2" t="str">
        <x:v>sympy/sympy</x:v>
      </x:c>
      <x:c r="C295" s="2" t="str">
        <x:v>attempt-0001</x:v>
      </x:c>
      <x:c r="D295" s="2" t="str">
        <x:v>empty_patch</x:v>
      </x:c>
      <x:c r="E295" s="2" t="str">
        <x:v>finished</x:v>
      </x:c>
      <x:c r="F295" s="2" t="str">
        <x:v>limit</x:v>
      </x:c>
      <x:c r="G295" s="13" t="n">
        <x:v>1</x:v>
      </x:c>
      <x:c r="H295" s="13" t="n">
        <x:v>1</x:v>
      </x:c>
      <x:c r="I295" s="13" t="n">
        <x:v>1</x:v>
      </x:c>
      <x:c r="J295" s="2" t="str">
        <x:v>通过</x:v>
      </x:c>
      <x:c r="K295" s="2" t="str">
        <x:v>empty</x:v>
      </x:c>
      <x:c r="L295" s="2" t="str">
        <x:v>not_run</x:v>
      </x:c>
      <x:c r="M295" s="11" t="n">
        <x:v>63</x:v>
      </x:c>
      <x:c r="N295" s="11" t="n">
        <x:v>818206</x:v>
      </x:c>
      <x:c r="O295" s="12" t="n">
        <x:v>177.477</x:v>
      </x:c>
      <x:c r="P295" s="9" t="str">
        <x:v>Lead model-turn limit reached.</x:v>
      </x:c>
      <x:c r="Q295" s="9" t="str">
        <x:v>task_output-wsl/lite-baseline-001/instances/sympy__sympy-17655/attempt-0001/state.json</x:v>
      </x:c>
      <x:c r="R295" s="2" t="n">
        <x:v>1</x:v>
      </x:c>
    </x:row>
    <x:row r="296" ht="44" customHeight="1">
      <x:c r="A296" s="2" t="str">
        <x:v>sympy__sympy-18057</x:v>
      </x:c>
      <x:c r="B296" s="2" t="str">
        <x:v>sympy/sympy</x:v>
      </x:c>
      <x:c r="C296" s="2" t="str">
        <x:v>attempt-0001</x:v>
      </x:c>
      <x:c r="D296" s="2" t="str">
        <x:v>unresolved</x:v>
      </x:c>
      <x:c r="E296" s="2" t="str">
        <x:v>finished</x:v>
      </x:c>
      <x:c r="F296" s="2" t="str">
        <x:v>limit</x:v>
      </x:c>
      <x:c r="G296" s="13" t="n">
        <x:v>1</x:v>
      </x:c>
      <x:c r="H296" s="13" t="n">
        <x:v>1</x:v>
      </x:c>
      <x:c r="I296" s="13" t="n">
        <x:v>1</x:v>
      </x:c>
      <x:c r="J296" s="2" t="str">
        <x:v>通过</x:v>
      </x:c>
      <x:c r="K296" s="2" t="str">
        <x:v>nonempty</x:v>
      </x:c>
      <x:c r="L296" s="2" t="str">
        <x:v>unresolved</x:v>
      </x:c>
      <x:c r="M296" s="11" t="n">
        <x:v>63</x:v>
      </x:c>
      <x:c r="N296" s="11" t="n">
        <x:v>764060</x:v>
      </x:c>
      <x:c r="O296" s="12" t="n">
        <x:v>262.1</x:v>
      </x:c>
      <x:c r="P296" s="9" t="str">
        <x:v>Lead model-turn limit reached.</x:v>
      </x:c>
      <x:c r="Q296" s="9" t="str">
        <x:v>task_output-wsl/lite-baseline-001/instances/sympy__sympy-18057/attempt-0001/state.json</x:v>
      </x:c>
      <x:c r="R296" s="2" t="n">
        <x:v>1</x:v>
      </x:c>
    </x:row>
    <x:row r="297" ht="44" customHeight="1">
      <x:c r="A297" s="2" t="str">
        <x:v>sympy__sympy-18087</x:v>
      </x:c>
      <x:c r="B297" s="2" t="str">
        <x:v>sympy/sympy</x:v>
      </x:c>
      <x:c r="C297" s="2" t="str">
        <x:v>attempt-0001</x:v>
      </x:c>
      <x:c r="D297" s="2" t="str">
        <x:v>resolved</x:v>
      </x:c>
      <x:c r="E297" s="2" t="str">
        <x:v>finished</x:v>
      </x:c>
      <x:c r="F297" s="2" t="str">
        <x:v>completed</x:v>
      </x:c>
      <x:c r="G297" s="13" t="n">
        <x:v>1</x:v>
      </x:c>
      <x:c r="H297" s="13" t="n">
        <x:v>1</x:v>
      </x:c>
      <x:c r="I297" s="13" t="n">
        <x:v>1</x:v>
      </x:c>
      <x:c r="J297" s="2" t="str">
        <x:v>通过</x:v>
      </x:c>
      <x:c r="K297" s="2" t="str">
        <x:v>nonempty</x:v>
      </x:c>
      <x:c r="L297" s="2" t="str">
        <x:v>resolved</x:v>
      </x:c>
      <x:c r="M297" s="11" t="n">
        <x:v>49</x:v>
      </x:c>
      <x:c r="N297" s="11" t="n">
        <x:v>547099</x:v>
      </x:c>
      <x:c r="O297" s="12" t="n">
        <x:v>237.19</x:v>
      </x:c>
      <x:c r="P297" s="9" t="str"/>
      <x:c r="Q297" s="9" t="str">
        <x:v>task_output-wsl/lite-baseline-001/instances/sympy__sympy-18087/attempt-0001/state.json</x:v>
      </x:c>
      <x:c r="R297" s="2" t="n">
        <x:v>1</x:v>
      </x:c>
    </x:row>
    <x:row r="298" ht="44" customHeight="1">
      <x:c r="A298" s="2" t="str">
        <x:v>sympy__sympy-18189</x:v>
      </x:c>
      <x:c r="B298" s="2" t="str">
        <x:v>sympy/sympy</x:v>
      </x:c>
      <x:c r="C298" s="2" t="str">
        <x:v>attempt-0001</x:v>
      </x:c>
      <x:c r="D298" s="2" t="str">
        <x:v>resolved</x:v>
      </x:c>
      <x:c r="E298" s="2" t="str">
        <x:v>finished</x:v>
      </x:c>
      <x:c r="F298" s="2" t="str">
        <x:v>completed</x:v>
      </x:c>
      <x:c r="G298" s="13" t="n">
        <x:v>1</x:v>
      </x:c>
      <x:c r="H298" s="13" t="n">
        <x:v>1</x:v>
      </x:c>
      <x:c r="I298" s="13" t="n">
        <x:v>1</x:v>
      </x:c>
      <x:c r="J298" s="2" t="str">
        <x:v>通过</x:v>
      </x:c>
      <x:c r="K298" s="2" t="str">
        <x:v>nonempty</x:v>
      </x:c>
      <x:c r="L298" s="2" t="str">
        <x:v>resolved</x:v>
      </x:c>
      <x:c r="M298" s="11" t="n">
        <x:v>18</x:v>
      </x:c>
      <x:c r="N298" s="11" t="n">
        <x:v>138195</x:v>
      </x:c>
      <x:c r="O298" s="12" t="n">
        <x:v>39.85</x:v>
      </x:c>
      <x:c r="P298" s="9" t="str"/>
      <x:c r="Q298" s="9" t="str">
        <x:v>task_output-wsl/lite-baseline-001/instances/sympy__sympy-18189/attempt-0001/state.json</x:v>
      </x:c>
      <x:c r="R298" s="2" t="n">
        <x:v>1</x:v>
      </x:c>
    </x:row>
    <x:row r="299" ht="44" customHeight="1">
      <x:c r="A299" s="2" t="str">
        <x:v>sympy__sympy-18199</x:v>
      </x:c>
      <x:c r="B299" s="2" t="str">
        <x:v>sympy/sympy</x:v>
      </x:c>
      <x:c r="C299" s="2" t="str">
        <x:v>attempt-0001</x:v>
      </x:c>
      <x:c r="D299" s="2" t="str">
        <x:v>unresolved</x:v>
      </x:c>
      <x:c r="E299" s="2" t="str">
        <x:v>finished</x:v>
      </x:c>
      <x:c r="F299" s="2" t="str">
        <x:v>completed</x:v>
      </x:c>
      <x:c r="G299" s="13" t="n">
        <x:v>1</x:v>
      </x:c>
      <x:c r="H299" s="13" t="n">
        <x:v>1</x:v>
      </x:c>
      <x:c r="I299" s="13" t="n">
        <x:v>1</x:v>
      </x:c>
      <x:c r="J299" s="2" t="str">
        <x:v>通过</x:v>
      </x:c>
      <x:c r="K299" s="2" t="str">
        <x:v>nonempty</x:v>
      </x:c>
      <x:c r="L299" s="2" t="str">
        <x:v>unresolved</x:v>
      </x:c>
      <x:c r="M299" s="11" t="n">
        <x:v>15</x:v>
      </x:c>
      <x:c r="N299" s="11" t="n">
        <x:v>145442</x:v>
      </x:c>
      <x:c r="O299" s="12" t="n">
        <x:v>65.216</x:v>
      </x:c>
      <x:c r="P299" s="9" t="str"/>
      <x:c r="Q299" s="9" t="str">
        <x:v>task_output-wsl/lite-baseline-001/instances/sympy__sympy-18199/attempt-0001/state.json</x:v>
      </x:c>
      <x:c r="R299" s="2" t="n">
        <x:v>1</x:v>
      </x:c>
    </x:row>
    <x:row r="300" ht="44" customHeight="1">
      <x:c r="A300" s="2" t="str">
        <x:v>sympy__sympy-18532</x:v>
      </x:c>
      <x:c r="B300" s="2" t="str">
        <x:v>sympy/sympy</x:v>
      </x:c>
      <x:c r="C300" s="2" t="str">
        <x:v>attempt-0001</x:v>
      </x:c>
      <x:c r="D300" s="2" t="str">
        <x:v>resolved</x:v>
      </x:c>
      <x:c r="E300" s="2" t="str">
        <x:v>finished</x:v>
      </x:c>
      <x:c r="F300" s="2" t="str">
        <x:v>limit</x:v>
      </x:c>
      <x:c r="G300" s="13" t="n">
        <x:v>1</x:v>
      </x:c>
      <x:c r="H300" s="13" t="n">
        <x:v>1</x:v>
      </x:c>
      <x:c r="I300" s="13" t="n">
        <x:v>1</x:v>
      </x:c>
      <x:c r="J300" s="2" t="str">
        <x:v>通过</x:v>
      </x:c>
      <x:c r="K300" s="2" t="str">
        <x:v>nonempty</x:v>
      </x:c>
      <x:c r="L300" s="2" t="str">
        <x:v>resolved</x:v>
      </x:c>
      <x:c r="M300" s="11" t="n">
        <x:v>63</x:v>
      </x:c>
      <x:c r="N300" s="11" t="n">
        <x:v>707826</x:v>
      </x:c>
      <x:c r="O300" s="12" t="n">
        <x:v>255.908</x:v>
      </x:c>
      <x:c r="P300" s="9" t="str">
        <x:v>Lead model-turn limit reached.</x:v>
      </x:c>
      <x:c r="Q300" s="9" t="str">
        <x:v>task_output-wsl/lite-baseline-001/instances/sympy__sympy-18532/attempt-0001/state.json</x:v>
      </x:c>
      <x:c r="R300" s="2" t="n">
        <x:v>1</x:v>
      </x:c>
    </x:row>
    <x:row r="301" ht="44" customHeight="1">
      <x:c r="A301" s="2" t="str">
        <x:v>sympy__sympy-18621</x:v>
      </x:c>
      <x:c r="B301" s="2" t="str">
        <x:v>sympy/sympy</x:v>
      </x:c>
      <x:c r="C301" s="2" t="str">
        <x:v>attempt-0001</x:v>
      </x:c>
      <x:c r="D301" s="2" t="str">
        <x:v>resolved</x:v>
      </x:c>
      <x:c r="E301" s="2" t="str">
        <x:v>finished</x:v>
      </x:c>
      <x:c r="F301" s="2" t="str">
        <x:v>completed</x:v>
      </x:c>
      <x:c r="G301" s="13" t="n">
        <x:v>1</x:v>
      </x:c>
      <x:c r="H301" s="13" t="n">
        <x:v>1</x:v>
      </x:c>
      <x:c r="I301" s="13" t="n">
        <x:v>1</x:v>
      </x:c>
      <x:c r="J301" s="2" t="str">
        <x:v>通过</x:v>
      </x:c>
      <x:c r="K301" s="2" t="str">
        <x:v>nonempty</x:v>
      </x:c>
      <x:c r="L301" s="2" t="str">
        <x:v>resolved</x:v>
      </x:c>
      <x:c r="M301" s="11" t="n">
        <x:v>15</x:v>
      </x:c>
      <x:c r="N301" s="11" t="n">
        <x:v>158367</x:v>
      </x:c>
      <x:c r="O301" s="12" t="n">
        <x:v>45.301</x:v>
      </x:c>
      <x:c r="P301" s="9" t="str"/>
      <x:c r="Q301" s="9" t="str">
        <x:v>task_output-wsl/lite-baseline-001/instances/sympy__sympy-18621/attempt-0001/state.json</x:v>
      </x:c>
      <x:c r="R301" s="2" t="n">
        <x:v>1</x:v>
      </x:c>
    </x:row>
    <x:row r="302" ht="44" customHeight="1">
      <x:c r="A302" s="2" t="str">
        <x:v>sympy__sympy-18698</x:v>
      </x:c>
      <x:c r="B302" s="2" t="str">
        <x:v>sympy/sympy</x:v>
      </x:c>
      <x:c r="C302" s="2" t="str">
        <x:v>attempt-0001</x:v>
      </x:c>
      <x:c r="D302" s="2" t="str">
        <x:v>resolved</x:v>
      </x:c>
      <x:c r="E302" s="2" t="str">
        <x:v>finished</x:v>
      </x:c>
      <x:c r="F302" s="2" t="str">
        <x:v>limit</x:v>
      </x:c>
      <x:c r="G302" s="13" t="n">
        <x:v>1</x:v>
      </x:c>
      <x:c r="H302" s="13" t="n">
        <x:v>1</x:v>
      </x:c>
      <x:c r="I302" s="13" t="n">
        <x:v>1</x:v>
      </x:c>
      <x:c r="J302" s="2" t="str">
        <x:v>通过</x:v>
      </x:c>
      <x:c r="K302" s="2" t="str">
        <x:v>nonempty</x:v>
      </x:c>
      <x:c r="L302" s="2" t="str">
        <x:v>resolved</x:v>
      </x:c>
      <x:c r="M302" s="11" t="n">
        <x:v>63</x:v>
      </x:c>
      <x:c r="N302" s="11" t="n">
        <x:v>755260</x:v>
      </x:c>
      <x:c r="O302" s="12" t="n">
        <x:v>170.946</x:v>
      </x:c>
      <x:c r="P302" s="9" t="str">
        <x:v>Lead model-turn limit reached.</x:v>
      </x:c>
      <x:c r="Q302" s="9" t="str">
        <x:v>task_output-wsl/lite-baseline-001/instances/sympy__sympy-18698/attempt-0001/state.json</x:v>
      </x:c>
      <x:c r="R302" s="2" t="n">
        <x:v>1</x:v>
      </x:c>
    </x:row>
    <x:row r="303" ht="44" customHeight="1">
      <x:c r="A303" s="2" t="str">
        <x:v>sympy__sympy-18835</x:v>
      </x:c>
      <x:c r="B303" s="2" t="str">
        <x:v>sympy/sympy</x:v>
      </x:c>
      <x:c r="C303" s="2" t="str">
        <x:v>attempt-0001</x:v>
      </x:c>
      <x:c r="D303" s="2" t="str">
        <x:v>resolved</x:v>
      </x:c>
      <x:c r="E303" s="2" t="str">
        <x:v>finished</x:v>
      </x:c>
      <x:c r="F303" s="2" t="str">
        <x:v>completed</x:v>
      </x:c>
      <x:c r="G303" s="13" t="n">
        <x:v>1</x:v>
      </x:c>
      <x:c r="H303" s="13" t="n">
        <x:v>1</x:v>
      </x:c>
      <x:c r="I303" s="13" t="n">
        <x:v>1</x:v>
      </x:c>
      <x:c r="J303" s="2" t="str">
        <x:v>通过</x:v>
      </x:c>
      <x:c r="K303" s="2" t="str">
        <x:v>nonempty</x:v>
      </x:c>
      <x:c r="L303" s="2" t="str">
        <x:v>resolved</x:v>
      </x:c>
      <x:c r="M303" s="11" t="n">
        <x:v>15</x:v>
      </x:c>
      <x:c r="N303" s="11" t="n">
        <x:v>155556</x:v>
      </x:c>
      <x:c r="O303" s="12" t="n">
        <x:v>100.868</x:v>
      </x:c>
      <x:c r="P303" s="9" t="str"/>
      <x:c r="Q303" s="9" t="str">
        <x:v>task_output-wsl/lite-baseline-001/instances/sympy__sympy-18835/attempt-0001/state.json</x:v>
      </x:c>
      <x:c r="R303" s="2" t="n">
        <x:v>1</x:v>
      </x:c>
    </x:row>
    <x:row r="304" ht="44" customHeight="1">
      <x:c r="A304" s="2" t="str">
        <x:v>sympy__sympy-19007</x:v>
      </x:c>
      <x:c r="B304" s="2" t="str">
        <x:v>sympy/sympy</x:v>
      </x:c>
      <x:c r="C304" s="2" t="str">
        <x:v>attempt-0001</x:v>
      </x:c>
      <x:c r="D304" s="2" t="str">
        <x:v>resolved</x:v>
      </x:c>
      <x:c r="E304" s="2" t="str">
        <x:v>finished</x:v>
      </x:c>
      <x:c r="F304" s="2" t="str">
        <x:v>completed</x:v>
      </x:c>
      <x:c r="G304" s="13" t="n">
        <x:v>1</x:v>
      </x:c>
      <x:c r="H304" s="13" t="n">
        <x:v>1</x:v>
      </x:c>
      <x:c r="I304" s="13" t="n">
        <x:v>1</x:v>
      </x:c>
      <x:c r="J304" s="2" t="str">
        <x:v>通过</x:v>
      </x:c>
      <x:c r="K304" s="2" t="str">
        <x:v>nonempty</x:v>
      </x:c>
      <x:c r="L304" s="2" t="str">
        <x:v>resolved</x:v>
      </x:c>
      <x:c r="M304" s="11" t="n">
        <x:v>64</x:v>
      </x:c>
      <x:c r="N304" s="11" t="n">
        <x:v>722390</x:v>
      </x:c>
      <x:c r="O304" s="12" t="n">
        <x:v>307.561</x:v>
      </x:c>
      <x:c r="P304" s="9" t="str"/>
      <x:c r="Q304" s="9" t="str">
        <x:v>task_output-wsl/lite-baseline-001/instances/sympy__sympy-19007/attempt-0001/state.json</x:v>
      </x:c>
      <x:c r="R304" s="2" t="n">
        <x:v>1</x:v>
      </x:c>
    </x:row>
    <x:row r="305" ht="44" customHeight="1">
      <x:c r="A305" s="2" t="str">
        <x:v>sympy__sympy-19254</x:v>
      </x:c>
      <x:c r="B305" s="2" t="str">
        <x:v>sympy/sympy</x:v>
      </x:c>
      <x:c r="C305" s="2" t="str">
        <x:v>attempt-0001</x:v>
      </x:c>
      <x:c r="D305" s="2" t="str">
        <x:v>resolved</x:v>
      </x:c>
      <x:c r="E305" s="2" t="str">
        <x:v>finished</x:v>
      </x:c>
      <x:c r="F305" s="2" t="str">
        <x:v>completed</x:v>
      </x:c>
      <x:c r="G305" s="13" t="n">
        <x:v>1</x:v>
      </x:c>
      <x:c r="H305" s="13" t="n">
        <x:v>1</x:v>
      </x:c>
      <x:c r="I305" s="13" t="n">
        <x:v>1</x:v>
      </x:c>
      <x:c r="J305" s="2" t="str">
        <x:v>通过</x:v>
      </x:c>
      <x:c r="K305" s="2" t="str">
        <x:v>nonempty</x:v>
      </x:c>
      <x:c r="L305" s="2" t="str">
        <x:v>resolved</x:v>
      </x:c>
      <x:c r="M305" s="11" t="n">
        <x:v>24</x:v>
      </x:c>
      <x:c r="N305" s="11" t="n">
        <x:v>279986</x:v>
      </x:c>
      <x:c r="O305" s="12" t="n">
        <x:v>77.517</x:v>
      </x:c>
      <x:c r="P305" s="9" t="str"/>
      <x:c r="Q305" s="9" t="str">
        <x:v>task_output-wsl/lite-baseline-001/instances/sympy__sympy-19254/attempt-0001/state.json</x:v>
      </x:c>
      <x:c r="R305" s="2" t="n">
        <x:v>1</x:v>
      </x:c>
    </x:row>
    <x:row r="306" ht="44" customHeight="1">
      <x:c r="A306" s="2" t="str">
        <x:v>sympy__sympy-19487</x:v>
      </x:c>
      <x:c r="B306" s="2" t="str">
        <x:v>sympy/sympy</x:v>
      </x:c>
      <x:c r="C306" s="2" t="str">
        <x:v>attempt-0001</x:v>
      </x:c>
      <x:c r="D306" s="2" t="str">
        <x:v>resolved</x:v>
      </x:c>
      <x:c r="E306" s="2" t="str">
        <x:v>finished</x:v>
      </x:c>
      <x:c r="F306" s="2" t="str">
        <x:v>completed</x:v>
      </x:c>
      <x:c r="G306" s="13" t="n">
        <x:v>1</x:v>
      </x:c>
      <x:c r="H306" s="13" t="n">
        <x:v>1</x:v>
      </x:c>
      <x:c r="I306" s="13" t="n">
        <x:v>1</x:v>
      </x:c>
      <x:c r="J306" s="2" t="str">
        <x:v>通过</x:v>
      </x:c>
      <x:c r="K306" s="2" t="str">
        <x:v>nonempty</x:v>
      </x:c>
      <x:c r="L306" s="2" t="str">
        <x:v>resolved</x:v>
      </x:c>
      <x:c r="M306" s="11" t="n">
        <x:v>15</x:v>
      </x:c>
      <x:c r="N306" s="11" t="n">
        <x:v>134145</x:v>
      </x:c>
      <x:c r="O306" s="12" t="n">
        <x:v>53.928</x:v>
      </x:c>
      <x:c r="P306" s="9" t="str"/>
      <x:c r="Q306" s="9" t="str">
        <x:v>task_output-wsl/lite-baseline-001/instances/sympy__sympy-19487/attempt-0001/state.json</x:v>
      </x:c>
      <x:c r="R306" s="2" t="n">
        <x:v>1</x:v>
      </x:c>
    </x:row>
    <x:row r="307" ht="44" customHeight="1">
      <x:c r="A307" s="2" t="str">
        <x:v>sympy__sympy-20049</x:v>
      </x:c>
      <x:c r="B307" s="2" t="str">
        <x:v>sympy/sympy</x:v>
      </x:c>
      <x:c r="C307" s="2" t="str">
        <x:v>attempt-0001</x:v>
      </x:c>
      <x:c r="D307" s="2" t="str">
        <x:v>resolved</x:v>
      </x:c>
      <x:c r="E307" s="2" t="str">
        <x:v>finished</x:v>
      </x:c>
      <x:c r="F307" s="2" t="str">
        <x:v>completed</x:v>
      </x:c>
      <x:c r="G307" s="13" t="n">
        <x:v>1</x:v>
      </x:c>
      <x:c r="H307" s="13" t="n">
        <x:v>1</x:v>
      </x:c>
      <x:c r="I307" s="13" t="n">
        <x:v>1</x:v>
      </x:c>
      <x:c r="J307" s="2" t="str">
        <x:v>通过</x:v>
      </x:c>
      <x:c r="K307" s="2" t="str">
        <x:v>nonempty</x:v>
      </x:c>
      <x:c r="L307" s="2" t="str">
        <x:v>resolved</x:v>
      </x:c>
      <x:c r="M307" s="11" t="n">
        <x:v>51</x:v>
      </x:c>
      <x:c r="N307" s="11" t="n">
        <x:v>573212</x:v>
      </x:c>
      <x:c r="O307" s="12" t="n">
        <x:v>178.583</x:v>
      </x:c>
      <x:c r="P307" s="9" t="str"/>
      <x:c r="Q307" s="9" t="str">
        <x:v>task_output-wsl/lite-baseline-001/instances/sympy__sympy-20049/attempt-0001/state.json</x:v>
      </x:c>
      <x:c r="R307" s="2" t="n">
        <x:v>1</x:v>
      </x:c>
    </x:row>
    <x:row r="308" ht="44" customHeight="1">
      <x:c r="A308" s="2" t="str">
        <x:v>sympy__sympy-20154</x:v>
      </x:c>
      <x:c r="B308" s="2" t="str">
        <x:v>sympy/sympy</x:v>
      </x:c>
      <x:c r="C308" s="2" t="str">
        <x:v>attempt-0001</x:v>
      </x:c>
      <x:c r="D308" s="2" t="str">
        <x:v>resolved</x:v>
      </x:c>
      <x:c r="E308" s="2" t="str">
        <x:v>finished</x:v>
      </x:c>
      <x:c r="F308" s="2" t="str">
        <x:v>completed</x:v>
      </x:c>
      <x:c r="G308" s="13" t="n">
        <x:v>1</x:v>
      </x:c>
      <x:c r="H308" s="13" t="n">
        <x:v>1</x:v>
      </x:c>
      <x:c r="I308" s="13" t="n">
        <x:v>1</x:v>
      </x:c>
      <x:c r="J308" s="2" t="str">
        <x:v>通过</x:v>
      </x:c>
      <x:c r="K308" s="2" t="str">
        <x:v>nonempty</x:v>
      </x:c>
      <x:c r="L308" s="2" t="str">
        <x:v>resolved</x:v>
      </x:c>
      <x:c r="M308" s="11" t="n">
        <x:v>11</x:v>
      </x:c>
      <x:c r="N308" s="11" t="n">
        <x:v>114473</x:v>
      </x:c>
      <x:c r="O308" s="12" t="n">
        <x:v>25.048</x:v>
      </x:c>
      <x:c r="P308" s="9" t="str"/>
      <x:c r="Q308" s="9" t="str">
        <x:v>task_output-wsl/lite-baseline-001/instances/sympy__sympy-20154/attempt-0001/state.json</x:v>
      </x:c>
      <x:c r="R308" s="2" t="n">
        <x:v>1</x:v>
      </x:c>
    </x:row>
    <x:row r="309" ht="44" customHeight="1">
      <x:c r="A309" s="2" t="str">
        <x:v>sympy__sympy-20212</x:v>
      </x:c>
      <x:c r="B309" s="2" t="str">
        <x:v>sympy/sympy</x:v>
      </x:c>
      <x:c r="C309" s="2" t="str">
        <x:v>attempt-0001</x:v>
      </x:c>
      <x:c r="D309" s="2" t="str">
        <x:v>resolved</x:v>
      </x:c>
      <x:c r="E309" s="2" t="str">
        <x:v>finished</x:v>
      </x:c>
      <x:c r="F309" s="2" t="str">
        <x:v>completed</x:v>
      </x:c>
      <x:c r="G309" s="13" t="n">
        <x:v>1</x:v>
      </x:c>
      <x:c r="H309" s="13" t="n">
        <x:v>1</x:v>
      </x:c>
      <x:c r="I309" s="13" t="n">
        <x:v>1</x:v>
      </x:c>
      <x:c r="J309" s="2" t="str">
        <x:v>通过</x:v>
      </x:c>
      <x:c r="K309" s="2" t="str">
        <x:v>nonempty</x:v>
      </x:c>
      <x:c r="L309" s="2" t="str">
        <x:v>resolved</x:v>
      </x:c>
      <x:c r="M309" s="11" t="n">
        <x:v>25</x:v>
      </x:c>
      <x:c r="N309" s="11" t="n">
        <x:v>265425</x:v>
      </x:c>
      <x:c r="O309" s="12" t="n">
        <x:v>86.8</x:v>
      </x:c>
      <x:c r="P309" s="9" t="str"/>
      <x:c r="Q309" s="9" t="str">
        <x:v>task_output-wsl/lite-baseline-001/instances/sympy__sympy-20212/attempt-0001/state.json</x:v>
      </x:c>
      <x:c r="R309" s="2" t="n">
        <x:v>1</x:v>
      </x:c>
    </x:row>
    <x:row r="310" ht="44" customHeight="1">
      <x:c r="A310" s="2" t="str">
        <x:v>sympy__sympy-20322</x:v>
      </x:c>
      <x:c r="B310" s="2" t="str">
        <x:v>sympy/sympy</x:v>
      </x:c>
      <x:c r="C310" s="2" t="str">
        <x:v>attempt-0001</x:v>
      </x:c>
      <x:c r="D310" s="2" t="str">
        <x:v>resolved</x:v>
      </x:c>
      <x:c r="E310" s="2" t="str">
        <x:v>finished</x:v>
      </x:c>
      <x:c r="F310" s="2" t="str">
        <x:v>limit</x:v>
      </x:c>
      <x:c r="G310" s="13" t="n">
        <x:v>1</x:v>
      </x:c>
      <x:c r="H310" s="13" t="n">
        <x:v>1</x:v>
      </x:c>
      <x:c r="I310" s="13" t="n">
        <x:v>1</x:v>
      </x:c>
      <x:c r="J310" s="2" t="str">
        <x:v>通过</x:v>
      </x:c>
      <x:c r="K310" s="2" t="str">
        <x:v>nonempty</x:v>
      </x:c>
      <x:c r="L310" s="2" t="str">
        <x:v>resolved</x:v>
      </x:c>
      <x:c r="M310" s="11" t="n">
        <x:v>61</x:v>
      </x:c>
      <x:c r="N310" s="11" t="n">
        <x:v>669198</x:v>
      </x:c>
      <x:c r="O310" s="12" t="n">
        <x:v>161.068</x:v>
      </x:c>
      <x:c r="P310" s="9" t="str">
        <x:v>Lead model-turn limit reached.</x:v>
      </x:c>
      <x:c r="Q310" s="9" t="str">
        <x:v>task_output-wsl/lite-baseline-001/instances/sympy__sympy-20322/attempt-0001/state.json</x:v>
      </x:c>
      <x:c r="R310" s="2" t="n">
        <x:v>1</x:v>
      </x:c>
    </x:row>
    <x:row r="311" ht="44" customHeight="1">
      <x:c r="A311" s="2" t="str">
        <x:v>sympy__sympy-20442</x:v>
      </x:c>
      <x:c r="B311" s="2" t="str">
        <x:v>sympy/sympy</x:v>
      </x:c>
      <x:c r="C311" s="2" t="str">
        <x:v>attempt-0001</x:v>
      </x:c>
      <x:c r="D311" s="2" t="str">
        <x:v>resolved</x:v>
      </x:c>
      <x:c r="E311" s="2" t="str">
        <x:v>finished</x:v>
      </x:c>
      <x:c r="F311" s="2" t="str">
        <x:v>completed</x:v>
      </x:c>
      <x:c r="G311" s="13" t="n">
        <x:v>1</x:v>
      </x:c>
      <x:c r="H311" s="13" t="n">
        <x:v>1</x:v>
      </x:c>
      <x:c r="I311" s="13" t="n">
        <x:v>1</x:v>
      </x:c>
      <x:c r="J311" s="2" t="str">
        <x:v>通过</x:v>
      </x:c>
      <x:c r="K311" s="2" t="str">
        <x:v>nonempty</x:v>
      </x:c>
      <x:c r="L311" s="2" t="str">
        <x:v>resolved</x:v>
      </x:c>
      <x:c r="M311" s="11" t="n">
        <x:v>43</x:v>
      </x:c>
      <x:c r="N311" s="11" t="n">
        <x:v>511042</x:v>
      </x:c>
      <x:c r="O311" s="12" t="n">
        <x:v>142.007</x:v>
      </x:c>
      <x:c r="P311" s="9" t="str"/>
      <x:c r="Q311" s="9" t="str">
        <x:v>task_output-wsl/lite-baseline-001/instances/sympy__sympy-20442/attempt-0001/state.json</x:v>
      </x:c>
      <x:c r="R311" s="2" t="n">
        <x:v>1</x:v>
      </x:c>
    </x:row>
    <x:row r="312" ht="44" customHeight="1">
      <x:c r="A312" s="2" t="str">
        <x:v>sympy__sympy-20590</x:v>
      </x:c>
      <x:c r="B312" s="2" t="str">
        <x:v>sympy/sympy</x:v>
      </x:c>
      <x:c r="C312" s="2" t="str">
        <x:v>attempt-0001</x:v>
      </x:c>
      <x:c r="D312" s="2" t="str">
        <x:v>resolved</x:v>
      </x:c>
      <x:c r="E312" s="2" t="str">
        <x:v>finished</x:v>
      </x:c>
      <x:c r="F312" s="2" t="str">
        <x:v>timeout</x:v>
      </x:c>
      <x:c r="G312" s="13" t="n">
        <x:v>1</x:v>
      </x:c>
      <x:c r="H312" s="13" t="n">
        <x:v>1</x:v>
      </x:c>
      <x:c r="I312" s="13" t="n">
        <x:v>1</x:v>
      </x:c>
      <x:c r="J312" s="2" t="str">
        <x:v>通过</x:v>
      </x:c>
      <x:c r="K312" s="2" t="str">
        <x:v>nonempty</x:v>
      </x:c>
      <x:c r="L312" s="2" t="str">
        <x:v>resolved</x:v>
      </x:c>
      <x:c r="M312" s="11" t="n">
        <x:v>43</x:v>
      </x:c>
      <x:c r="N312" s="11" t="n">
        <x:v>449053</x:v>
      </x:c>
      <x:c r="O312" s="12" t="n">
        <x:v>1200.417</x:v>
      </x:c>
      <x:c r="P312" s="9" t="str">
        <x:v>Task exceeded 1200.0 seconds.</x:v>
      </x:c>
      <x:c r="Q312" s="9" t="str">
        <x:v>task_output-wsl/lite-baseline-001/instances/sympy__sympy-20590/attempt-0001/state.json</x:v>
      </x:c>
      <x:c r="R312" s="2" t="n">
        <x:v>1</x:v>
      </x:c>
    </x:row>
    <x:row r="313" ht="44" customHeight="1">
      <x:c r="A313" s="2" t="str">
        <x:v>sympy__sympy-20639</x:v>
      </x:c>
      <x:c r="B313" s="2" t="str">
        <x:v>sympy/sympy</x:v>
      </x:c>
      <x:c r="C313" s="2" t="str">
        <x:v>attempt-0001</x:v>
      </x:c>
      <x:c r="D313" s="2" t="str">
        <x:v>unresolved</x:v>
      </x:c>
      <x:c r="E313" s="2" t="str">
        <x:v>finished</x:v>
      </x:c>
      <x:c r="F313" s="2" t="str">
        <x:v>completed</x:v>
      </x:c>
      <x:c r="G313" s="13" t="n">
        <x:v>1</x:v>
      </x:c>
      <x:c r="H313" s="13" t="n">
        <x:v>1</x:v>
      </x:c>
      <x:c r="I313" s="13" t="n">
        <x:v>1</x:v>
      </x:c>
      <x:c r="J313" s="2" t="str">
        <x:v>通过</x:v>
      </x:c>
      <x:c r="K313" s="2" t="str">
        <x:v>nonempty</x:v>
      </x:c>
      <x:c r="L313" s="2" t="str">
        <x:v>unresolved</x:v>
      </x:c>
      <x:c r="M313" s="11" t="n">
        <x:v>53</x:v>
      </x:c>
      <x:c r="N313" s="11" t="n">
        <x:v>491119</x:v>
      </x:c>
      <x:c r="O313" s="12" t="n">
        <x:v>154.539</x:v>
      </x:c>
      <x:c r="P313" s="9" t="str"/>
      <x:c r="Q313" s="9" t="str">
        <x:v>task_output-wsl/lite-baseline-001/instances/sympy__sympy-20639/attempt-0001/state.json</x:v>
      </x:c>
      <x:c r="R313" s="2" t="n">
        <x:v>1</x:v>
      </x:c>
    </x:row>
    <x:row r="314" ht="44" customHeight="1">
      <x:c r="A314" s="2" t="str">
        <x:v>sympy__sympy-21055</x:v>
      </x:c>
      <x:c r="B314" s="2" t="str">
        <x:v>sympy/sympy</x:v>
      </x:c>
      <x:c r="C314" s="2" t="str">
        <x:v>attempt-0001</x:v>
      </x:c>
      <x:c r="D314" s="2" t="str">
        <x:v>resolved</x:v>
      </x:c>
      <x:c r="E314" s="2" t="str">
        <x:v>finished</x:v>
      </x:c>
      <x:c r="F314" s="2" t="str">
        <x:v>completed</x:v>
      </x:c>
      <x:c r="G314" s="13" t="n">
        <x:v>1</x:v>
      </x:c>
      <x:c r="H314" s="13" t="n">
        <x:v>1</x:v>
      </x:c>
      <x:c r="I314" s="13" t="n">
        <x:v>1</x:v>
      </x:c>
      <x:c r="J314" s="2" t="str">
        <x:v>通过</x:v>
      </x:c>
      <x:c r="K314" s="2" t="str">
        <x:v>nonempty</x:v>
      </x:c>
      <x:c r="L314" s="2" t="str">
        <x:v>resolved</x:v>
      </x:c>
      <x:c r="M314" s="11" t="n">
        <x:v>17</x:v>
      </x:c>
      <x:c r="N314" s="11" t="n">
        <x:v>195661</x:v>
      </x:c>
      <x:c r="O314" s="12" t="n">
        <x:v>61.357</x:v>
      </x:c>
      <x:c r="P314" s="9" t="str"/>
      <x:c r="Q314" s="9" t="str">
        <x:v>task_output-wsl/lite-baseline-001/instances/sympy__sympy-21055/attempt-0001/state.json</x:v>
      </x:c>
      <x:c r="R314" s="2" t="n">
        <x:v>1</x:v>
      </x:c>
    </x:row>
    <x:row r="315" ht="44" customHeight="1">
      <x:c r="A315" s="2" t="str">
        <x:v>sympy__sympy-21171</x:v>
      </x:c>
      <x:c r="B315" s="2" t="str">
        <x:v>sympy/sympy</x:v>
      </x:c>
      <x:c r="C315" s="2" t="str">
        <x:v>attempt-0001</x:v>
      </x:c>
      <x:c r="D315" s="2" t="str">
        <x:v>unresolved</x:v>
      </x:c>
      <x:c r="E315" s="2" t="str">
        <x:v>finished</x:v>
      </x:c>
      <x:c r="F315" s="2" t="str">
        <x:v>completed</x:v>
      </x:c>
      <x:c r="G315" s="13" t="n">
        <x:v>1</x:v>
      </x:c>
      <x:c r="H315" s="13" t="n">
        <x:v>1</x:v>
      </x:c>
      <x:c r="I315" s="13" t="n">
        <x:v>1</x:v>
      </x:c>
      <x:c r="J315" s="2" t="str">
        <x:v>通过</x:v>
      </x:c>
      <x:c r="K315" s="2" t="str">
        <x:v>nonempty</x:v>
      </x:c>
      <x:c r="L315" s="2" t="str">
        <x:v>unresolved</x:v>
      </x:c>
      <x:c r="M315" s="11" t="n">
        <x:v>15</x:v>
      </x:c>
      <x:c r="N315" s="11" t="n">
        <x:v>170533</x:v>
      </x:c>
      <x:c r="O315" s="12" t="n">
        <x:v>63.605</x:v>
      </x:c>
      <x:c r="P315" s="9" t="str"/>
      <x:c r="Q315" s="9" t="str">
        <x:v>task_output-wsl/lite-baseline-001/instances/sympy__sympy-21171/attempt-0001/state.json</x:v>
      </x:c>
      <x:c r="R315" s="2" t="n">
        <x:v>1</x:v>
      </x:c>
    </x:row>
    <x:row r="316" ht="44" customHeight="1">
      <x:c r="A316" s="2" t="str">
        <x:v>sympy__sympy-21379</x:v>
      </x:c>
      <x:c r="B316" s="2" t="str">
        <x:v>sympy/sympy</x:v>
      </x:c>
      <x:c r="C316" s="2" t="str">
        <x:v>attempt-0001</x:v>
      </x:c>
      <x:c r="D316" s="2" t="str">
        <x:v>resolved</x:v>
      </x:c>
      <x:c r="E316" s="2" t="str">
        <x:v>finished</x:v>
      </x:c>
      <x:c r="F316" s="2" t="str">
        <x:v>completed</x:v>
      </x:c>
      <x:c r="G316" s="13" t="n">
        <x:v>1</x:v>
      </x:c>
      <x:c r="H316" s="13" t="n">
        <x:v>1</x:v>
      </x:c>
      <x:c r="I316" s="13" t="n">
        <x:v>1</x:v>
      </x:c>
      <x:c r="J316" s="2" t="str">
        <x:v>通过</x:v>
      </x:c>
      <x:c r="K316" s="2" t="str">
        <x:v>nonempty</x:v>
      </x:c>
      <x:c r="L316" s="2" t="str">
        <x:v>resolved</x:v>
      </x:c>
      <x:c r="M316" s="11" t="n">
        <x:v>47</x:v>
      </x:c>
      <x:c r="N316" s="11" t="n">
        <x:v>528018</x:v>
      </x:c>
      <x:c r="O316" s="12" t="n">
        <x:v>140.569</x:v>
      </x:c>
      <x:c r="P316" s="9" t="str"/>
      <x:c r="Q316" s="9" t="str">
        <x:v>task_output-wsl/lite-baseline-001/instances/sympy__sympy-21379/attempt-0001/state.json</x:v>
      </x:c>
      <x:c r="R316" s="2" t="n">
        <x:v>1</x:v>
      </x:c>
    </x:row>
    <x:row r="317" ht="44" customHeight="1">
      <x:c r="A317" s="2" t="str">
        <x:v>sympy__sympy-21612</x:v>
      </x:c>
      <x:c r="B317" s="2" t="str">
        <x:v>sympy/sympy</x:v>
      </x:c>
      <x:c r="C317" s="2" t="str">
        <x:v>attempt-0001</x:v>
      </x:c>
      <x:c r="D317" s="2" t="str">
        <x:v>empty_patch</x:v>
      </x:c>
      <x:c r="E317" s="2" t="str">
        <x:v>finished</x:v>
      </x:c>
      <x:c r="F317" s="2" t="str">
        <x:v>limit</x:v>
      </x:c>
      <x:c r="G317" s="13" t="n">
        <x:v>1</x:v>
      </x:c>
      <x:c r="H317" s="13" t="n">
        <x:v>1</x:v>
      </x:c>
      <x:c r="I317" s="13" t="n">
        <x:v>1</x:v>
      </x:c>
      <x:c r="J317" s="2" t="str">
        <x:v>通过</x:v>
      </x:c>
      <x:c r="K317" s="2" t="str">
        <x:v>empty</x:v>
      </x:c>
      <x:c r="L317" s="2" t="str">
        <x:v>not_run</x:v>
      </x:c>
      <x:c r="M317" s="11" t="n">
        <x:v>63</x:v>
      </x:c>
      <x:c r="N317" s="11" t="n">
        <x:v>766790</x:v>
      </x:c>
      <x:c r="O317" s="12" t="n">
        <x:v>185.07</x:v>
      </x:c>
      <x:c r="P317" s="9" t="str">
        <x:v>Lead model-turn limit reached.</x:v>
      </x:c>
      <x:c r="Q317" s="9" t="str">
        <x:v>task_output-wsl/lite-baseline-001/instances/sympy__sympy-21612/attempt-0001/state.json</x:v>
      </x:c>
      <x:c r="R317" s="2" t="n">
        <x:v>1</x:v>
      </x:c>
    </x:row>
    <x:row r="318" ht="44" customHeight="1">
      <x:c r="A318" s="2" t="str">
        <x:v>sympy__sympy-21614</x:v>
      </x:c>
      <x:c r="B318" s="2" t="str">
        <x:v>sympy/sympy</x:v>
      </x:c>
      <x:c r="C318" s="2" t="str">
        <x:v>attempt-0001</x:v>
      </x:c>
      <x:c r="D318" s="2" t="str">
        <x:v>resolved</x:v>
      </x:c>
      <x:c r="E318" s="2" t="str">
        <x:v>finished</x:v>
      </x:c>
      <x:c r="F318" s="2" t="str">
        <x:v>completed</x:v>
      </x:c>
      <x:c r="G318" s="13" t="n">
        <x:v>1</x:v>
      </x:c>
      <x:c r="H318" s="13" t="n">
        <x:v>1</x:v>
      </x:c>
      <x:c r="I318" s="13" t="n">
        <x:v>1</x:v>
      </x:c>
      <x:c r="J318" s="2" t="str">
        <x:v>通过</x:v>
      </x:c>
      <x:c r="K318" s="2" t="str">
        <x:v>nonempty</x:v>
      </x:c>
      <x:c r="L318" s="2" t="str">
        <x:v>resolved</x:v>
      </x:c>
      <x:c r="M318" s="11" t="n">
        <x:v>53</x:v>
      </x:c>
      <x:c r="N318" s="11" t="n">
        <x:v>564655</x:v>
      </x:c>
      <x:c r="O318" s="12" t="n">
        <x:v>158.427</x:v>
      </x:c>
      <x:c r="P318" s="9" t="str"/>
      <x:c r="Q318" s="9" t="str">
        <x:v>task_output-wsl/lite-baseline-001/instances/sympy__sympy-21614/attempt-0001/state.json</x:v>
      </x:c>
      <x:c r="R318" s="2" t="n">
        <x:v>1</x:v>
      </x:c>
    </x:row>
    <x:row r="319" ht="44" customHeight="1">
      <x:c r="A319" s="2" t="str">
        <x:v>sympy__sympy-21627</x:v>
      </x:c>
      <x:c r="B319" s="2" t="str">
        <x:v>sympy/sympy</x:v>
      </x:c>
      <x:c r="C319" s="2" t="str">
        <x:v>attempt-0001</x:v>
      </x:c>
      <x:c r="D319" s="2" t="str">
        <x:v>resolved</x:v>
      </x:c>
      <x:c r="E319" s="2" t="str">
        <x:v>finished</x:v>
      </x:c>
      <x:c r="F319" s="2" t="str">
        <x:v>completed</x:v>
      </x:c>
      <x:c r="G319" s="13" t="n">
        <x:v>1</x:v>
      </x:c>
      <x:c r="H319" s="13" t="n">
        <x:v>1</x:v>
      </x:c>
      <x:c r="I319" s="13" t="n">
        <x:v>1</x:v>
      </x:c>
      <x:c r="J319" s="2" t="str">
        <x:v>通过</x:v>
      </x:c>
      <x:c r="K319" s="2" t="str">
        <x:v>nonempty</x:v>
      </x:c>
      <x:c r="L319" s="2" t="str">
        <x:v>resolved</x:v>
      </x:c>
      <x:c r="M319" s="11" t="n">
        <x:v>40</x:v>
      </x:c>
      <x:c r="N319" s="11" t="n">
        <x:v>404287</x:v>
      </x:c>
      <x:c r="O319" s="12" t="n">
        <x:v>148.817</x:v>
      </x:c>
      <x:c r="P319" s="9" t="str"/>
      <x:c r="Q319" s="9" t="str">
        <x:v>task_output-wsl/lite-baseline-001/instances/sympy__sympy-21627/attempt-0001/state.json</x:v>
      </x:c>
      <x:c r="R319" s="2" t="n">
        <x:v>1</x:v>
      </x:c>
    </x:row>
    <x:row r="320" ht="44" customHeight="1">
      <x:c r="A320" s="2" t="str">
        <x:v>sympy__sympy-21847</x:v>
      </x:c>
      <x:c r="B320" s="2" t="str">
        <x:v>sympy/sympy</x:v>
      </x:c>
      <x:c r="C320" s="2" t="str">
        <x:v>attempt-0001</x:v>
      </x:c>
      <x:c r="D320" s="2" t="str">
        <x:v>resolved</x:v>
      </x:c>
      <x:c r="E320" s="2" t="str">
        <x:v>finished</x:v>
      </x:c>
      <x:c r="F320" s="2" t="str">
        <x:v>completed</x:v>
      </x:c>
      <x:c r="G320" s="13" t="n">
        <x:v>1</x:v>
      </x:c>
      <x:c r="H320" s="13" t="n">
        <x:v>1</x:v>
      </x:c>
      <x:c r="I320" s="13" t="n">
        <x:v>1</x:v>
      </x:c>
      <x:c r="J320" s="2" t="str">
        <x:v>通过</x:v>
      </x:c>
      <x:c r="K320" s="2" t="str">
        <x:v>nonempty</x:v>
      </x:c>
      <x:c r="L320" s="2" t="str">
        <x:v>resolved</x:v>
      </x:c>
      <x:c r="M320" s="11" t="n">
        <x:v>15</x:v>
      </x:c>
      <x:c r="N320" s="11" t="n">
        <x:v>173806</x:v>
      </x:c>
      <x:c r="O320" s="12" t="n">
        <x:v>39.547</x:v>
      </x:c>
      <x:c r="P320" s="9" t="str"/>
      <x:c r="Q320" s="9" t="str">
        <x:v>task_output-wsl/lite-baseline-001/instances/sympy__sympy-21847/attempt-0001/state.json</x:v>
      </x:c>
      <x:c r="R320" s="2" t="n">
        <x:v>1</x:v>
      </x:c>
    </x:row>
    <x:row r="321" ht="44" customHeight="1">
      <x:c r="A321" s="2" t="str">
        <x:v>sympy__sympy-22005</x:v>
      </x:c>
      <x:c r="B321" s="2" t="str">
        <x:v>sympy/sympy</x:v>
      </x:c>
      <x:c r="C321" s="2" t="str">
        <x:v>attempt-0001</x:v>
      </x:c>
      <x:c r="D321" s="2" t="str">
        <x:v>empty_patch</x:v>
      </x:c>
      <x:c r="E321" s="2" t="str">
        <x:v>finished</x:v>
      </x:c>
      <x:c r="F321" s="2" t="str">
        <x:v>completed</x:v>
      </x:c>
      <x:c r="G321" s="13" t="n">
        <x:v>1</x:v>
      </x:c>
      <x:c r="H321" s="13" t="n">
        <x:v>1</x:v>
      </x:c>
      <x:c r="I321" s="13" t="n">
        <x:v>1</x:v>
      </x:c>
      <x:c r="J321" s="2" t="str">
        <x:v>通过</x:v>
      </x:c>
      <x:c r="K321" s="2" t="str">
        <x:v>empty</x:v>
      </x:c>
      <x:c r="L321" s="2" t="str">
        <x:v>not_run</x:v>
      </x:c>
      <x:c r="M321" s="11" t="n">
        <x:v>4</x:v>
      </x:c>
      <x:c r="N321" s="11" t="n">
        <x:v>37458</x:v>
      </x:c>
      <x:c r="O321" s="12" t="n">
        <x:v>40.68</x:v>
      </x:c>
      <x:c r="P321" s="9" t="str">
        <x:v>Runner collected no working-tree changes.</x:v>
      </x:c>
      <x:c r="Q321" s="9" t="str">
        <x:v>task_output-wsl/lite-baseline-001/instances/sympy__sympy-22005/attempt-0001/state.json</x:v>
      </x:c>
      <x:c r="R321" s="2" t="n">
        <x:v>1</x:v>
      </x:c>
    </x:row>
    <x:row r="322" ht="44" customHeight="1">
      <x:c r="A322" s="2" t="str">
        <x:v>sympy__sympy-22714</x:v>
      </x:c>
      <x:c r="B322" s="2" t="str">
        <x:v>sympy/sympy</x:v>
      </x:c>
      <x:c r="C322" s="2" t="str">
        <x:v>attempt-0001</x:v>
      </x:c>
      <x:c r="D322" s="2" t="str">
        <x:v>resolved</x:v>
      </x:c>
      <x:c r="E322" s="2" t="str">
        <x:v>finished</x:v>
      </x:c>
      <x:c r="F322" s="2" t="str">
        <x:v>completed</x:v>
      </x:c>
      <x:c r="G322" s="13" t="n">
        <x:v>1</x:v>
      </x:c>
      <x:c r="H322" s="13" t="n">
        <x:v>1</x:v>
      </x:c>
      <x:c r="I322" s="13" t="n">
        <x:v>1</x:v>
      </x:c>
      <x:c r="J322" s="2" t="str">
        <x:v>通过</x:v>
      </x:c>
      <x:c r="K322" s="2" t="str">
        <x:v>nonempty</x:v>
      </x:c>
      <x:c r="L322" s="2" t="str">
        <x:v>resolved</x:v>
      </x:c>
      <x:c r="M322" s="11" t="n">
        <x:v>16</x:v>
      </x:c>
      <x:c r="N322" s="11" t="n">
        <x:v>171219</x:v>
      </x:c>
      <x:c r="O322" s="12" t="n">
        <x:v>82.159</x:v>
      </x:c>
      <x:c r="P322" s="9" t="str"/>
      <x:c r="Q322" s="9" t="str">
        <x:v>task_output-wsl/lite-baseline-001/instances/sympy__sympy-22714/attempt-0001/state.json</x:v>
      </x:c>
      <x:c r="R322" s="2" t="n">
        <x:v>1</x:v>
      </x:c>
    </x:row>
    <x:row r="323" ht="44" customHeight="1">
      <x:c r="A323" s="2" t="str">
        <x:v>sympy__sympy-22840</x:v>
      </x:c>
      <x:c r="B323" s="2" t="str">
        <x:v>sympy/sympy</x:v>
      </x:c>
      <x:c r="C323" s="2" t="str">
        <x:v>attempt-0001</x:v>
      </x:c>
      <x:c r="D323" s="2" t="str">
        <x:v>unresolved</x:v>
      </x:c>
      <x:c r="E323" s="2" t="str">
        <x:v>finished</x:v>
      </x:c>
      <x:c r="F323" s="2" t="str">
        <x:v>completed</x:v>
      </x:c>
      <x:c r="G323" s="13" t="n">
        <x:v>1</x:v>
      </x:c>
      <x:c r="H323" s="13" t="n">
        <x:v>1</x:v>
      </x:c>
      <x:c r="I323" s="13" t="n">
        <x:v>1</x:v>
      </x:c>
      <x:c r="J323" s="2" t="str">
        <x:v>通过</x:v>
      </x:c>
      <x:c r="K323" s="2" t="str">
        <x:v>nonempty</x:v>
      </x:c>
      <x:c r="L323" s="2" t="str">
        <x:v>unresolved</x:v>
      </x:c>
      <x:c r="M323" s="11" t="n">
        <x:v>26</x:v>
      </x:c>
      <x:c r="N323" s="11" t="n">
        <x:v>284685</x:v>
      </x:c>
      <x:c r="O323" s="12" t="n">
        <x:v>76.78</x:v>
      </x:c>
      <x:c r="P323" s="9" t="str"/>
      <x:c r="Q323" s="9" t="str">
        <x:v>task_output-wsl/lite-baseline-001/instances/sympy__sympy-22840/attempt-0001/state.json</x:v>
      </x:c>
      <x:c r="R323" s="2" t="n">
        <x:v>1</x:v>
      </x:c>
    </x:row>
    <x:row r="324" ht="44" customHeight="1">
      <x:c r="A324" s="2" t="str">
        <x:v>sympy__sympy-23117</x:v>
      </x:c>
      <x:c r="B324" s="2" t="str">
        <x:v>sympy/sympy</x:v>
      </x:c>
      <x:c r="C324" s="2" t="str">
        <x:v>attempt-0001</x:v>
      </x:c>
      <x:c r="D324" s="2" t="str">
        <x:v>resolved</x:v>
      </x:c>
      <x:c r="E324" s="2" t="str">
        <x:v>finished</x:v>
      </x:c>
      <x:c r="F324" s="2" t="str">
        <x:v>limit</x:v>
      </x:c>
      <x:c r="G324" s="13" t="n">
        <x:v>1</x:v>
      </x:c>
      <x:c r="H324" s="13" t="n">
        <x:v>1</x:v>
      </x:c>
      <x:c r="I324" s="13" t="n">
        <x:v>1</x:v>
      </x:c>
      <x:c r="J324" s="2" t="str">
        <x:v>通过</x:v>
      </x:c>
      <x:c r="K324" s="2" t="str">
        <x:v>nonempty</x:v>
      </x:c>
      <x:c r="L324" s="2" t="str">
        <x:v>resolved</x:v>
      </x:c>
      <x:c r="M324" s="11" t="n">
        <x:v>63</x:v>
      </x:c>
      <x:c r="N324" s="11" t="n">
        <x:v>753930</x:v>
      </x:c>
      <x:c r="O324" s="12" t="n">
        <x:v>202.801</x:v>
      </x:c>
      <x:c r="P324" s="9" t="str">
        <x:v>Lead model-turn limit reached.</x:v>
      </x:c>
      <x:c r="Q324" s="9" t="str">
        <x:v>task_output-wsl/lite-baseline-001/instances/sympy__sympy-23117/attempt-0001/state.json</x:v>
      </x:c>
      <x:c r="R324" s="2" t="n">
        <x:v>1</x:v>
      </x:c>
    </x:row>
    <x:row r="325" ht="44" customHeight="1">
      <x:c r="A325" s="2" t="str">
        <x:v>sympy__sympy-23191</x:v>
      </x:c>
      <x:c r="B325" s="2" t="str">
        <x:v>sympy/sympy</x:v>
      </x:c>
      <x:c r="C325" s="2" t="str">
        <x:v>attempt-0001</x:v>
      </x:c>
      <x:c r="D325" s="2" t="str">
        <x:v>unresolved</x:v>
      </x:c>
      <x:c r="E325" s="2" t="str">
        <x:v>finished</x:v>
      </x:c>
      <x:c r="F325" s="2" t="str">
        <x:v>limit</x:v>
      </x:c>
      <x:c r="G325" s="13" t="n">
        <x:v>1</x:v>
      </x:c>
      <x:c r="H325" s="13" t="n">
        <x:v>1</x:v>
      </x:c>
      <x:c r="I325" s="13" t="n">
        <x:v>1</x:v>
      </x:c>
      <x:c r="J325" s="2" t="str">
        <x:v>通过</x:v>
      </x:c>
      <x:c r="K325" s="2" t="str">
        <x:v>nonempty</x:v>
      </x:c>
      <x:c r="L325" s="2" t="str">
        <x:v>unresolved</x:v>
      </x:c>
      <x:c r="M325" s="11" t="n">
        <x:v>63</x:v>
      </x:c>
      <x:c r="N325" s="11" t="n">
        <x:v>767816</x:v>
      </x:c>
      <x:c r="O325" s="12" t="n">
        <x:v>174.783</x:v>
      </x:c>
      <x:c r="P325" s="9" t="str">
        <x:v>Lead model-turn limit reached.</x:v>
      </x:c>
      <x:c r="Q325" s="9" t="str">
        <x:v>task_output-wsl/lite-baseline-001/instances/sympy__sympy-23191/attempt-0001/state.json</x:v>
      </x:c>
      <x:c r="R325" s="2" t="n">
        <x:v>1</x:v>
      </x:c>
    </x:row>
    <x:row r="326" ht="44" customHeight="1">
      <x:c r="A326" s="2" t="str">
        <x:v>sympy__sympy-23262</x:v>
      </x:c>
      <x:c r="B326" s="2" t="str">
        <x:v>sympy/sympy</x:v>
      </x:c>
      <x:c r="C326" s="2" t="str">
        <x:v>attempt-0001</x:v>
      </x:c>
      <x:c r="D326" s="2" t="str">
        <x:v>resolved</x:v>
      </x:c>
      <x:c r="E326" s="2" t="str">
        <x:v>finished</x:v>
      </x:c>
      <x:c r="F326" s="2" t="str">
        <x:v>completed</x:v>
      </x:c>
      <x:c r="G326" s="13" t="n">
        <x:v>1</x:v>
      </x:c>
      <x:c r="H326" s="13" t="n">
        <x:v>1</x:v>
      </x:c>
      <x:c r="I326" s="13" t="n">
        <x:v>1</x:v>
      </x:c>
      <x:c r="J326" s="2" t="str">
        <x:v>通过</x:v>
      </x:c>
      <x:c r="K326" s="2" t="str">
        <x:v>nonempty</x:v>
      </x:c>
      <x:c r="L326" s="2" t="str">
        <x:v>resolved</x:v>
      </x:c>
      <x:c r="M326" s="11" t="n">
        <x:v>17</x:v>
      </x:c>
      <x:c r="N326" s="11" t="n">
        <x:v>168650</x:v>
      </x:c>
      <x:c r="O326" s="12" t="n">
        <x:v>32.438</x:v>
      </x:c>
      <x:c r="P326" s="9" t="str"/>
      <x:c r="Q326" s="9" t="str">
        <x:v>task_output-wsl/lite-baseline-001/instances/sympy__sympy-23262/attempt-0001/state.json</x:v>
      </x:c>
      <x:c r="R326" s="2" t="n">
        <x:v>1</x:v>
      </x:c>
    </x:row>
    <x:row r="327" ht="44" customHeight="1">
      <x:c r="A327" s="2" t="str">
        <x:v>sympy__sympy-24066</x:v>
      </x:c>
      <x:c r="B327" s="2" t="str">
        <x:v>sympy/sympy</x:v>
      </x:c>
      <x:c r="C327" s="2" t="str">
        <x:v>attempt-0001</x:v>
      </x:c>
      <x:c r="D327" s="2" t="str">
        <x:v>resolved</x:v>
      </x:c>
      <x:c r="E327" s="2" t="str">
        <x:v>finished</x:v>
      </x:c>
      <x:c r="F327" s="2" t="str">
        <x:v>completed</x:v>
      </x:c>
      <x:c r="G327" s="13" t="n">
        <x:v>1</x:v>
      </x:c>
      <x:c r="H327" s="13" t="n">
        <x:v>1</x:v>
      </x:c>
      <x:c r="I327" s="13" t="n">
        <x:v>1</x:v>
      </x:c>
      <x:c r="J327" s="2" t="str">
        <x:v>通过</x:v>
      </x:c>
      <x:c r="K327" s="2" t="str">
        <x:v>nonempty</x:v>
      </x:c>
      <x:c r="L327" s="2" t="str">
        <x:v>resolved</x:v>
      </x:c>
      <x:c r="M327" s="11" t="n">
        <x:v>28</x:v>
      </x:c>
      <x:c r="N327" s="11" t="n">
        <x:v>288042</x:v>
      </x:c>
      <x:c r="O327" s="12" t="n">
        <x:v>140.219</x:v>
      </x:c>
      <x:c r="P327" s="9" t="str"/>
      <x:c r="Q327" s="9" t="str">
        <x:v>task_output-wsl/lite-baseline-001/instances/sympy__sympy-24066/attempt-0001/state.json</x:v>
      </x:c>
      <x:c r="R327" s="2" t="n">
        <x:v>1</x:v>
      </x:c>
    </x:row>
    <x:row r="328" ht="44" customHeight="1">
      <x:c r="A328" s="2" t="str">
        <x:v>sympy__sympy-24102</x:v>
      </x:c>
      <x:c r="B328" s="2" t="str">
        <x:v>sympy/sympy</x:v>
      </x:c>
      <x:c r="C328" s="2" t="str">
        <x:v>attempt-0001</x:v>
      </x:c>
      <x:c r="D328" s="2" t="str">
        <x:v>unresolved</x:v>
      </x:c>
      <x:c r="E328" s="2" t="str">
        <x:v>finished</x:v>
      </x:c>
      <x:c r="F328" s="2" t="str">
        <x:v>completed</x:v>
      </x:c>
      <x:c r="G328" s="13" t="n">
        <x:v>1</x:v>
      </x:c>
      <x:c r="H328" s="13" t="n">
        <x:v>1</x:v>
      </x:c>
      <x:c r="I328" s="13" t="n">
        <x:v>1</x:v>
      </x:c>
      <x:c r="J328" s="2" t="str">
        <x:v>通过</x:v>
      </x:c>
      <x:c r="K328" s="2" t="str">
        <x:v>nonempty</x:v>
      </x:c>
      <x:c r="L328" s="2" t="str">
        <x:v>unresolved</x:v>
      </x:c>
      <x:c r="M328" s="11" t="n">
        <x:v>36</x:v>
      </x:c>
      <x:c r="N328" s="11" t="n">
        <x:v>403284</x:v>
      </x:c>
      <x:c r="O328" s="12" t="n">
        <x:v>113.638</x:v>
      </x:c>
      <x:c r="P328" s="9" t="str"/>
      <x:c r="Q328" s="9" t="str">
        <x:v>task_output-wsl/lite-baseline-001/instances/sympy__sympy-24102/attempt-0001/state.json</x:v>
      </x:c>
      <x:c r="R328" s="2" t="n">
        <x:v>1</x:v>
      </x:c>
    </x:row>
    <x:row r="329" ht="44" customHeight="1">
      <x:c r="A329" s="2" t="str">
        <x:v>sympy__sympy-24152</x:v>
      </x:c>
      <x:c r="B329" s="2" t="str">
        <x:v>sympy/sympy</x:v>
      </x:c>
      <x:c r="C329" s="2" t="str">
        <x:v>attempt-0001</x:v>
      </x:c>
      <x:c r="D329" s="2" t="str">
        <x:v>resolved</x:v>
      </x:c>
      <x:c r="E329" s="2" t="str">
        <x:v>finished</x:v>
      </x:c>
      <x:c r="F329" s="2" t="str">
        <x:v>completed</x:v>
      </x:c>
      <x:c r="G329" s="13" t="n">
        <x:v>1</x:v>
      </x:c>
      <x:c r="H329" s="13" t="n">
        <x:v>1</x:v>
      </x:c>
      <x:c r="I329" s="13" t="n">
        <x:v>1</x:v>
      </x:c>
      <x:c r="J329" s="2" t="str">
        <x:v>通过</x:v>
      </x:c>
      <x:c r="K329" s="2" t="str">
        <x:v>nonempty</x:v>
      </x:c>
      <x:c r="L329" s="2" t="str">
        <x:v>resolved</x:v>
      </x:c>
      <x:c r="M329" s="11" t="n">
        <x:v>14</x:v>
      </x:c>
      <x:c r="N329" s="11" t="n">
        <x:v>132167</x:v>
      </x:c>
      <x:c r="O329" s="12" t="n">
        <x:v>137.196</x:v>
      </x:c>
      <x:c r="P329" s="9" t="str"/>
      <x:c r="Q329" s="9" t="str">
        <x:v>task_output-wsl/lite-baseline-001/instances/sympy__sympy-24152/attempt-0001/state.json</x:v>
      </x:c>
      <x:c r="R329" s="2" t="n">
        <x:v>1</x:v>
      </x:c>
    </x:row>
    <x:row r="330" ht="44" customHeight="1">
      <x:c r="A330" s="2" t="str">
        <x:v>sympy__sympy-24213</x:v>
      </x:c>
      <x:c r="B330" s="2" t="str">
        <x:v>sympy/sympy</x:v>
      </x:c>
      <x:c r="C330" s="2" t="str">
        <x:v>attempt-0001</x:v>
      </x:c>
      <x:c r="D330" s="2" t="str">
        <x:v>resolved</x:v>
      </x:c>
      <x:c r="E330" s="2" t="str">
        <x:v>finished</x:v>
      </x:c>
      <x:c r="F330" s="2" t="str">
        <x:v>completed</x:v>
      </x:c>
      <x:c r="G330" s="13" t="n">
        <x:v>1</x:v>
      </x:c>
      <x:c r="H330" s="13" t="n">
        <x:v>1</x:v>
      </x:c>
      <x:c r="I330" s="13" t="n">
        <x:v>1</x:v>
      </x:c>
      <x:c r="J330" s="2" t="str">
        <x:v>通过</x:v>
      </x:c>
      <x:c r="K330" s="2" t="str">
        <x:v>nonempty</x:v>
      </x:c>
      <x:c r="L330" s="2" t="str">
        <x:v>resolved</x:v>
      </x:c>
      <x:c r="M330" s="11" t="n">
        <x:v>11</x:v>
      </x:c>
      <x:c r="N330" s="11" t="n">
        <x:v>91570</x:v>
      </x:c>
      <x:c r="O330" s="12" t="n">
        <x:v>24.75</x:v>
      </x:c>
      <x:c r="P330" s="9" t="str"/>
      <x:c r="Q330" s="9" t="str">
        <x:v>task_output-wsl/lite-baseline-001/instances/sympy__sympy-24213/attempt-0001/state.json</x:v>
      </x:c>
      <x:c r="R330" s="2" t="n">
        <x:v>1</x:v>
      </x:c>
    </x:row>
    <x:row r="331" ht="44" customHeight="1">
      <x:c r="A331" s="2" t="str">
        <x:v>sympy__sympy-24909</x:v>
      </x:c>
      <x:c r="B331" s="2" t="str">
        <x:v>sympy/sympy</x:v>
      </x:c>
      <x:c r="C331" s="2" t="str">
        <x:v>attempt-0001</x:v>
      </x:c>
      <x:c r="D331" s="2" t="str">
        <x:v>unresolved</x:v>
      </x:c>
      <x:c r="E331" s="2" t="str">
        <x:v>finished</x:v>
      </x:c>
      <x:c r="F331" s="2" t="str">
        <x:v>completed</x:v>
      </x:c>
      <x:c r="G331" s="13" t="n">
        <x:v>1</x:v>
      </x:c>
      <x:c r="H331" s="13" t="n">
        <x:v>1</x:v>
      </x:c>
      <x:c r="I331" s="13" t="n">
        <x:v>1</x:v>
      </x:c>
      <x:c r="J331" s="2" t="str">
        <x:v>通过</x:v>
      </x:c>
      <x:c r="K331" s="2" t="str">
        <x:v>nonempty</x:v>
      </x:c>
      <x:c r="L331" s="2" t="str">
        <x:v>unresolved</x:v>
      </x:c>
      <x:c r="M331" s="11" t="n">
        <x:v>41</x:v>
      </x:c>
      <x:c r="N331" s="11" t="n">
        <x:v>480556</x:v>
      </x:c>
      <x:c r="O331" s="12" t="n">
        <x:v>124.441</x:v>
      </x:c>
      <x:c r="P331" s="9" t="str"/>
      <x:c r="Q331" s="9" t="str">
        <x:v>task_output-wsl/lite-baseline-001/instances/sympy__sympy-24909/attempt-0001/state.json</x:v>
      </x:c>
      <x:c r="R331" s="2" t="n">
        <x:v>1</x:v>
      </x:c>
    </x:row>
  </x:sheetData>
  <x:conditionalFormatting sqref="D6:D331">
    <x:cfRule type="expression" dxfId="3" priority="1">
      <x:formula>D6="error"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8e6eca56424fc6"/>
  </x:tableParts>
</x:worksheet>
</file>